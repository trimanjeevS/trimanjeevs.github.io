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a9d83f41e894de0" /></Relationships>
</file>

<file path=xl/workbook.xml><?xml version="1.0" encoding="utf-8"?>
<x:workbook xmlns:x="http://schemas.openxmlformats.org/spreadsheetml/2006/main">
  <x:workbookProtection workbookPassword="BE0E" lockStructure="1"/>
  <x:sheets>
    <x:sheet xmlns:r="http://schemas.openxmlformats.org/officeDocument/2006/relationships" name="Summary" sheetId="1" r:id="Ra7c87aa9d4f74762"/>
    <x:sheet xmlns:r="http://schemas.openxmlformats.org/officeDocument/2006/relationships" name="Assumptions" sheetId="2" r:id="Rd565240384e34678"/>
    <x:sheet xmlns:r="http://schemas.openxmlformats.org/officeDocument/2006/relationships" name="Operating Model" sheetId="3" r:id="Rb90a08282f1f47e2"/>
    <x:sheet xmlns:r="http://schemas.openxmlformats.org/officeDocument/2006/relationships" name="Variance" sheetId="4" r:id="Rdacbe2af18454c99"/>
    <x:sheet xmlns:r="http://schemas.openxmlformats.org/officeDocument/2006/relationships" name="Actuals" sheetId="5" r:id="R9dab29e99c2045ce"/>
    <x:sheet xmlns:r="http://schemas.openxmlformats.org/officeDocument/2006/relationships" name="Guide" sheetId="6" r:id="R75d255d460434f5f"/>
  </x:sheets>
</x:workbook>
</file>

<file path=xl/sharedStrings.xml><?xml version="1.0" encoding="utf-8"?>
<x:sst xmlns:x="http://schemas.openxmlformats.org/spreadsheetml/2006/main"/>
</file>

<file path=xl/styles.xml><?xml version="1.0" encoding="utf-8"?>
<x:styleSheet xmlns:x="http://schemas.openxmlformats.org/spreadsheetml/2006/main">
  <x:numFmts count="9">
    <x:numFmt numFmtId="200" formatCode="d-mmm-yyyy"/>
    <x:numFmt numFmtId="201" formatCode="mmm-yy"/>
    <x:numFmt numFmtId="202" formatCode="#,##0;(#,##0);&quot;-&quot;"/>
    <x:numFmt numFmtId="203" formatCode="0.00;(0.00);&quot;-&quot;"/>
    <x:numFmt numFmtId="204" formatCode="0.0%;(0.0%);&quot;-&quot;"/>
    <x:numFmt numFmtId="205" formatCode="0"/>
    <x:numFmt numFmtId="206" formatCode="0.0&quot; pp&quot;;(0.0)&quot; pp&quot;;&quot;-&quot;"/>
    <x:numFmt numFmtId="207" formatCode="&quot;$&quot;#,##0;(&quot;$&quot;#,##0);&quot;-&quot;"/>
    <x:numFmt numFmtId="208" formatCode="0.00;(0.00);0.00"/>
  </x:numFmts>
  <x:fonts count="16">
    <x:font>
      <x:sz val="11"/>
      <x:name val="Carlito"/>
    </x:font>
    <x:font>
      <x:sz val="10"/>
      <x:color rgb="FF1D2733"/>
      <x:name val="Arial"/>
    </x:font>
    <x:font>
      <x:b/>
      <x:sz val="16"/>
      <x:color rgb="FF233D5B"/>
      <x:name val="Arial"/>
    </x:font>
    <x:font>
      <x:i/>
      <x:sz val="10"/>
      <x:color rgb="FF697581"/>
      <x:name val="Arial"/>
    </x:font>
    <x:font>
      <x:sz val="10"/>
      <x:color rgb="FF008000"/>
      <x:name val="Arial"/>
    </x:font>
    <x:font>
      <x:b/>
      <x:sz val="10"/>
      <x:color rgb="FFFFFFFF"/>
      <x:name val="Arial"/>
    </x:font>
    <x:font>
      <x:sz val="10"/>
      <x:color rgb="FF0000FF"/>
      <x:name val="Arial"/>
    </x:font>
    <x:font>
      <x:sz val="10"/>
      <x:color rgb="FF000000"/>
      <x:name val="Arial"/>
    </x:font>
    <x:font>
      <x:b/>
      <x:sz val="10"/>
      <x:color rgb="FF1D2733"/>
      <x:name val="Arial"/>
    </x:font>
    <x:font>
      <x:b/>
      <x:sz val="10"/>
      <x:color rgb="FF008000"/>
      <x:name val="Arial"/>
    </x:font>
    <x:font>
      <x:b/>
      <x:sz val="10"/>
      <x:color rgb="FF000000"/>
      <x:name val="Arial"/>
    </x:font>
    <x:font>
      <x:i/>
      <x:sz val="10"/>
      <x:color rgb="FF1D2733"/>
      <x:name val="Arial"/>
    </x:font>
    <x:font>
      <x:i/>
      <x:sz val="10"/>
      <x:color rgb="FF000000"/>
      <x:name val="Arial"/>
    </x:font>
    <x:font>
      <x:i/>
      <x:sz val="10"/>
      <x:color rgb="FF008000"/>
      <x:name val="Arial"/>
    </x:font>
    <x:font>
      <x:b/>
      <x:sz val="12"/>
      <x:color rgb="FF233D5B"/>
      <x:name val="Arial"/>
    </x:font>
    <x:font>
      <x:sz val="9"/>
      <x:color rgb="FF697581"/>
      <x:name val="Arial"/>
    </x:font>
  </x:fonts>
  <x:fills count="6">
    <x:fill>
      <x:patternFill patternType="none"/>
    </x:fill>
    <x:fill>
      <x:patternFill patternType="gray125"/>
    </x:fill>
    <x:fill>
      <x:patternFill patternType="solid">
        <x:fgColor rgb="FF233D5B"/>
      </x:patternFill>
    </x:fill>
    <x:fill>
      <x:patternFill patternType="solid">
        <x:fgColor rgb="FFFFF2CC"/>
      </x:patternFill>
    </x:fill>
    <x:fill>
      <x:patternFill patternType="solid">
        <x:fgColor rgb="FFEAF0F6"/>
      </x:patternFill>
    </x:fill>
    <x:fill>
      <x:patternFill patternType="solid">
        <x:fgColor rgb="FFF7EEDC"/>
      </x:patternFill>
    </x:fill>
  </x:fills>
  <x:borders count="4">
    <x:border/>
    <x:border>
      <x:bottom style="thin">
        <x:color rgb="FF233D5B"/>
      </x:bottom>
    </x:border>
    <x:border>
      <x:left style="dashed">
        <x:color rgb="FF697581"/>
      </x:left>
      <x:right style="dashed">
        <x:color rgb="FF697581"/>
      </x:right>
      <x:top style="dashed">
        <x:color rgb="FF697581"/>
      </x:top>
      <x:bottom style="dashed">
        <x:color rgb="FF697581"/>
      </x:bottom>
    </x:border>
    <x:border>
      <x:top style="thin">
        <x:color rgb="FFCBD4DE"/>
      </x:top>
    </x:border>
  </x:borders>
  <x:cellStyleXfs count="1">
    <x:xf numFmtId="0" fontId="0" fillId="0" borderId="0" applyProtection="1">
      <x:protection locked="1" hidden="0"/>
    </x:xf>
  </x:cellStyleXfs>
  <x:cellXfs count="94">
    <x:xf numFmtId="0" fontId="0" fillId="0" borderId="0" xfId="0" applyProtection="1">
      <x:protection locked="1" hidden="0"/>
    </x:xf>
    <x:xf numFmtId="0" fontId="1" fillId="0" borderId="0" xfId="0" applyNumberFormat="1" applyFont="1" applyFill="1" applyBorder="1" applyProtection="1">
      <x:protection locked="1" hidden="0"/>
    </x:xf>
    <x:xf numFmtId="0" fontId="1" fillId="0" borderId="0" xfId="0" applyNumberFormat="1" applyFont="1" applyFill="1" applyBorder="1" applyAlignment="1" applyProtection="1">
      <x:alignment vertical="center"/>
      <x:protection locked="1" hidden="0"/>
    </x:xf>
    <x:xf numFmtId="0" fontId="2" fillId="0" borderId="0" xfId="0" applyNumberFormat="1" applyFont="1" applyFill="1" applyBorder="1" applyAlignment="1" applyProtection="1">
      <x:alignment vertical="center"/>
      <x:protection locked="1" hidden="0"/>
    </x:xf>
    <x:xf numFmtId="0" fontId="1" fillId="0" borderId="1" xfId="0" applyNumberFormat="1" applyFont="1" applyFill="1" applyBorder="1" applyAlignment="1" applyProtection="1">
      <x:alignment vertical="center"/>
      <x:protection locked="1" hidden="0"/>
    </x:xf>
    <x:xf numFmtId="0" fontId="3" fillId="0" borderId="1" xfId="0" applyNumberFormat="1" applyFont="1" applyFill="1" applyBorder="1" applyAlignment="1" applyProtection="1">
      <x:alignment vertical="center"/>
      <x:protection locked="1" hidden="0"/>
    </x:xf>
    <x:xf numFmtId="0" fontId="4" fillId="0" borderId="0" xfId="0" applyNumberFormat="1" applyFont="1" applyFill="1" applyBorder="1" applyAlignment="1" applyProtection="1">
      <x:alignment vertical="center"/>
      <x:protection locked="1" hidden="0"/>
    </x:xf>
    <x:xf numFmtId="0" fontId="4" fillId="0" borderId="0" xfId="0" applyNumberFormat="1" applyFont="1" applyFill="1" applyBorder="1" applyAlignment="1" applyProtection="1">
      <x:alignment horizontal="center" vertical="center"/>
      <x:protection locked="1" hidden="0"/>
    </x:xf>
    <x:xf numFmtId="0" fontId="4" fillId="0" borderId="2" xfId="0" applyNumberFormat="1" applyFont="1" applyFill="1" applyBorder="1" applyAlignment="1" applyProtection="1">
      <x:alignment horizontal="center" vertical="center"/>
      <x:protection locked="1" hidden="0"/>
    </x:xf>
    <x:xf numFmtId="200" fontId="1" fillId="0" borderId="0" xfId="0" applyNumberFormat="1" applyFont="1" applyFill="1" applyBorder="1" applyAlignment="1" applyProtection="1">
      <x:alignment vertical="center"/>
      <x:protection locked="1" hidden="0"/>
    </x:xf>
    <x:xf numFmtId="0" fontId="1" fillId="2" borderId="0" xfId="0" applyNumberFormat="1" applyFont="1" applyFill="1" applyBorder="1" applyAlignment="1" applyProtection="1">
      <x:alignment vertical="center"/>
      <x:protection locked="1" hidden="0"/>
    </x:xf>
    <x:xf numFmtId="0" fontId="5" fillId="2" borderId="0" xfId="0" applyNumberFormat="1" applyFont="1" applyFill="1" applyBorder="1" applyAlignment="1" applyProtection="1">
      <x:alignment vertical="center"/>
      <x:protection locked="1" hidden="0"/>
    </x:xf>
    <x:xf numFmtId="0" fontId="5" fillId="2" borderId="0" xfId="0" applyNumberFormat="1" applyFont="1" applyFill="1" applyBorder="1" applyAlignment="1" applyProtection="1">
      <x:alignment vertical="center" wrapText="1"/>
      <x:protection locked="1" hidden="0"/>
    </x:xf>
    <x:xf numFmtId="201" fontId="1" fillId="0" borderId="0" xfId="0" applyNumberFormat="1" applyFont="1" applyFill="1" applyBorder="1" applyAlignment="1" applyProtection="1">
      <x:alignment vertical="center"/>
      <x:protection locked="1" hidden="0"/>
    </x:xf>
    <x:xf numFmtId="0" fontId="6" fillId="0" borderId="0" xfId="0" applyNumberFormat="1" applyFont="1" applyFill="1" applyBorder="1" applyAlignment="1" applyProtection="1">
      <x:alignment vertical="center"/>
      <x:protection locked="1" hidden="0"/>
    </x:xf>
    <x:xf numFmtId="202" fontId="6" fillId="0" borderId="0" xfId="0" applyNumberFormat="1" applyFont="1" applyFill="1" applyBorder="1" applyAlignment="1" applyProtection="1">
      <x:alignment vertical="center"/>
      <x:protection locked="1" hidden="0"/>
    </x:xf>
    <x:xf numFmtId="203" fontId="6" fillId="0" borderId="0" xfId="0" applyNumberFormat="1" applyFont="1" applyFill="1" applyBorder="1" applyAlignment="1" applyProtection="1">
      <x:alignment vertical="center"/>
      <x:protection locked="1" hidden="0"/>
    </x:xf>
    <x:xf numFmtId="0" fontId="7" fillId="0" borderId="0" xfId="0" applyNumberFormat="1" applyFont="1" applyFill="1" applyBorder="1" applyAlignment="1" applyProtection="1">
      <x:alignment vertical="center"/>
      <x:protection locked="1" hidden="0"/>
    </x:xf>
    <x:xf numFmtId="201" fontId="1" fillId="0" borderId="0" xfId="0" applyNumberFormat="1" applyFont="1" applyFill="1" applyBorder="1" applyAlignment="1" applyProtection="1">
      <x:alignment horizontal="center" vertical="center"/>
      <x:protection locked="1" hidden="0"/>
    </x:xf>
    <x:xf numFmtId="204" fontId="6" fillId="0" borderId="0" xfId="0" applyNumberFormat="1" applyFont="1" applyFill="1" applyBorder="1" applyAlignment="1" applyProtection="1">
      <x:alignment vertical="center"/>
      <x:protection locked="1" hidden="0"/>
    </x:xf>
    <x:xf numFmtId="205" fontId="7" fillId="0" borderId="0" xfId="0" applyNumberFormat="1" applyFont="1" applyFill="1" applyBorder="1" applyAlignment="1" applyProtection="1">
      <x:alignment vertical="center"/>
      <x:protection locked="1" hidden="0"/>
    </x:xf>
    <x:xf numFmtId="0" fontId="1" fillId="0" borderId="0" xfId="0" applyNumberFormat="1" applyFont="1" applyFill="1" applyBorder="1" applyAlignment="1" applyProtection="1">
      <x:alignment vertical="center" wrapText="1"/>
      <x:protection locked="1" hidden="0"/>
    </x:xf>
    <x:xf numFmtId="0" fontId="1" fillId="0" borderId="0" xfId="0" applyNumberFormat="1" applyFont="1" applyFill="1" applyBorder="1" applyAlignment="1" applyProtection="1">
      <x:alignment vertical="top" wrapText="1"/>
      <x:protection locked="1" hidden="0"/>
    </x:xf>
    <x:xf numFmtId="205" fontId="6" fillId="0" borderId="0" xfId="0" applyNumberFormat="1" applyFont="1" applyFill="1" applyBorder="1" applyAlignment="1" applyProtection="1">
      <x:alignment vertical="center"/>
      <x:protection locked="1" hidden="0"/>
    </x:xf>
    <x:xf numFmtId="205" fontId="6" fillId="3" borderId="0" xfId="0" applyNumberFormat="1" applyFont="1" applyFill="1" applyBorder="1" applyAlignment="1" applyProtection="1">
      <x:alignment vertical="center"/>
      <x:protection locked="0" hidden="0"/>
    </x:xf>
    <x:xf numFmtId="201" fontId="1" fillId="2" borderId="0" xfId="0" applyNumberFormat="1" applyFont="1" applyFill="1" applyBorder="1" applyAlignment="1" applyProtection="1">
      <x:alignment vertical="center"/>
      <x:protection locked="1" hidden="0"/>
    </x:xf>
    <x:xf numFmtId="0" fontId="5" fillId="0" borderId="0" xfId="0" applyNumberFormat="1" applyFont="1" applyFill="1" applyBorder="1" applyAlignment="1" applyProtection="1">
      <x:alignment vertical="center"/>
      <x:protection locked="1" hidden="0"/>
    </x:xf>
    <x:xf numFmtId="201" fontId="5" fillId="2" borderId="0" xfId="0" applyNumberFormat="1" applyFont="1" applyFill="1" applyBorder="1" applyAlignment="1" applyProtection="1">
      <x:alignment vertical="center"/>
      <x:protection locked="1" hidden="0"/>
    </x:xf>
    <x:xf numFmtId="0" fontId="5" fillId="2" borderId="0" xfId="0" applyNumberFormat="1" applyFont="1" applyFill="1" applyBorder="1" applyAlignment="1" applyProtection="1">
      <x:alignment horizontal="center" vertical="center"/>
      <x:protection locked="1" hidden="0"/>
    </x:xf>
    <x:xf numFmtId="0" fontId="5" fillId="0" borderId="0" xfId="0" applyNumberFormat="1" applyFont="1" applyFill="1" applyBorder="1" applyAlignment="1" applyProtection="1">
      <x:alignment horizontal="center" vertical="center"/>
      <x:protection locked="1" hidden="0"/>
    </x:xf>
    <x:xf numFmtId="201" fontId="5" fillId="2" borderId="0" xfId="0" applyNumberFormat="1" applyFont="1" applyFill="1" applyBorder="1" applyAlignment="1" applyProtection="1">
      <x:alignment horizontal="center" vertical="center"/>
      <x:protection locked="1" hidden="0"/>
    </x:xf>
    <x:xf numFmtId="0" fontId="1" fillId="4" borderId="0" xfId="0" applyNumberFormat="1" applyFont="1" applyFill="1" applyBorder="1" applyAlignment="1" applyProtection="1">
      <x:alignment vertical="center"/>
      <x:protection locked="1" hidden="0"/>
    </x:xf>
    <x:xf numFmtId="0" fontId="8" fillId="4" borderId="0" xfId="0" applyNumberFormat="1" applyFont="1" applyFill="1" applyBorder="1" applyAlignment="1" applyProtection="1">
      <x:alignment vertical="center"/>
      <x:protection locked="1" hidden="0"/>
    </x:xf>
    <x:xf numFmtId="204" fontId="6" fillId="3" borderId="0" xfId="0" applyNumberFormat="1" applyFont="1" applyFill="1" applyBorder="1" applyAlignment="1" applyProtection="1">
      <x:alignment vertical="center"/>
      <x:protection locked="1" hidden="0"/>
    </x:xf>
    <x:xf numFmtId="0" fontId="9" fillId="4" borderId="0" xfId="0" applyNumberFormat="1" applyFont="1" applyFill="1" applyBorder="1" applyAlignment="1" applyProtection="1">
      <x:alignment vertical="center"/>
      <x:protection locked="1" hidden="0"/>
    </x:xf>
    <x:xf numFmtId="0" fontId="10" fillId="4" borderId="0" xfId="0" applyNumberFormat="1" applyFont="1" applyFill="1" applyBorder="1" applyAlignment="1" applyProtection="1">
      <x:alignment vertical="center"/>
      <x:protection locked="1" hidden="0"/>
    </x:xf>
    <x:xf numFmtId="204" fontId="9" fillId="4" borderId="0" xfId="0" applyNumberFormat="1" applyFont="1" applyFill="1" applyBorder="1" applyAlignment="1" applyProtection="1">
      <x:alignment vertical="center"/>
      <x:protection locked="1" hidden="0"/>
    </x:xf>
    <x:xf numFmtId="204" fontId="10" fillId="4" borderId="0" xfId="0" applyNumberFormat="1" applyFont="1" applyFill="1" applyBorder="1" applyAlignment="1" applyProtection="1">
      <x:alignment vertical="center"/>
      <x:protection locked="1" hidden="0"/>
    </x:xf>
    <x:xf numFmtId="202" fontId="5" fillId="2" borderId="0" xfId="0" applyNumberFormat="1" applyFont="1" applyFill="1" applyBorder="1" applyAlignment="1" applyProtection="1">
      <x:alignment vertical="center"/>
      <x:protection locked="1" hidden="0"/>
    </x:xf>
    <x:xf numFmtId="202" fontId="1" fillId="0" borderId="0" xfId="0" applyNumberFormat="1" applyFont="1" applyFill="1" applyBorder="1" applyAlignment="1" applyProtection="1">
      <x:alignment vertical="center"/>
      <x:protection locked="1" hidden="0"/>
    </x:xf>
    <x:xf numFmtId="202" fontId="4" fillId="0" borderId="0" xfId="0" applyNumberFormat="1" applyFont="1" applyFill="1" applyBorder="1" applyAlignment="1" applyProtection="1">
      <x:alignment vertical="center"/>
      <x:protection locked="1" hidden="0"/>
    </x:xf>
    <x:xf numFmtId="202" fontId="7" fillId="0" borderId="0" xfId="0" applyNumberFormat="1" applyFont="1" applyFill="1" applyBorder="1" applyAlignment="1" applyProtection="1">
      <x:alignment vertical="center"/>
      <x:protection locked="1" hidden="0"/>
    </x:xf>
    <x:xf numFmtId="0" fontId="1" fillId="5" borderId="0" xfId="0" applyNumberFormat="1" applyFont="1" applyFill="1" applyBorder="1" applyAlignment="1" applyProtection="1">
      <x:alignment vertical="center"/>
      <x:protection locked="1" hidden="0"/>
    </x:xf>
    <x:xf numFmtId="203" fontId="7" fillId="0" borderId="0" xfId="0" applyNumberFormat="1" applyFont="1" applyFill="1" applyBorder="1" applyAlignment="1" applyProtection="1">
      <x:alignment vertical="center"/>
      <x:protection locked="1" hidden="0"/>
    </x:xf>
    <x:xf numFmtId="203" fontId="1" fillId="0" borderId="0" xfId="0" applyNumberFormat="1" applyFont="1" applyFill="1" applyBorder="1" applyAlignment="1" applyProtection="1">
      <x:alignment vertical="center"/>
      <x:protection locked="1" hidden="0"/>
    </x:xf>
    <x:xf numFmtId="203" fontId="4" fillId="0" borderId="0" xfId="0" applyNumberFormat="1" applyFont="1" applyFill="1" applyBorder="1" applyAlignment="1" applyProtection="1">
      <x:alignment vertical="center"/>
      <x:protection locked="1" hidden="0"/>
    </x:xf>
    <x:xf numFmtId="204" fontId="7" fillId="0" borderId="0" xfId="0" applyNumberFormat="1" applyFont="1" applyFill="1" applyBorder="1" applyAlignment="1" applyProtection="1">
      <x:alignment vertical="center"/>
      <x:protection locked="1" hidden="0"/>
    </x:xf>
    <x:xf numFmtId="204" fontId="1" fillId="0" borderId="0" xfId="0" applyNumberFormat="1" applyFont="1" applyFill="1" applyBorder="1" applyAlignment="1" applyProtection="1">
      <x:alignment vertical="center"/>
      <x:protection locked="1" hidden="0"/>
    </x:xf>
    <x:xf numFmtId="0" fontId="11" fillId="0" borderId="0" xfId="0" applyNumberFormat="1" applyFont="1" applyFill="1" applyBorder="1" applyAlignment="1" applyProtection="1">
      <x:alignment vertical="center"/>
      <x:protection locked="1" hidden="0"/>
    </x:xf>
    <x:xf numFmtId="204" fontId="12" fillId="0" borderId="0" xfId="0" applyNumberFormat="1" applyFont="1" applyFill="1" applyBorder="1" applyAlignment="1" applyProtection="1">
      <x:alignment vertical="center"/>
      <x:protection locked="1" hidden="0"/>
    </x:xf>
    <x:xf numFmtId="204" fontId="11" fillId="0" borderId="0" xfId="0" applyNumberFormat="1" applyFont="1" applyFill="1" applyBorder="1" applyAlignment="1" applyProtection="1">
      <x:alignment vertical="center"/>
      <x:protection locked="1" hidden="0"/>
    </x:xf>
    <x:xf numFmtId="204" fontId="4" fillId="0" borderId="0" xfId="0" applyNumberFormat="1" applyFont="1" applyFill="1" applyBorder="1" applyAlignment="1" applyProtection="1">
      <x:alignment vertical="center"/>
      <x:protection locked="1" hidden="0"/>
    </x:xf>
    <x:xf numFmtId="204" fontId="13" fillId="0" borderId="0" xfId="0" applyNumberFormat="1" applyFont="1" applyFill="1" applyBorder="1" applyAlignment="1" applyProtection="1">
      <x:alignment vertical="center"/>
      <x:protection locked="1" hidden="0"/>
    </x:xf>
    <x:xf numFmtId="0" fontId="8" fillId="0" borderId="0" xfId="0" applyNumberFormat="1" applyFont="1" applyFill="1" applyBorder="1" applyAlignment="1" applyProtection="1">
      <x:alignment vertical="center"/>
      <x:protection locked="1" hidden="0"/>
    </x:xf>
    <x:xf numFmtId="202" fontId="10" fillId="0" borderId="0" xfId="0" applyNumberFormat="1" applyFont="1" applyFill="1" applyBorder="1" applyAlignment="1" applyProtection="1">
      <x:alignment vertical="center"/>
      <x:protection locked="1" hidden="0"/>
    </x:xf>
    <x:xf numFmtId="0" fontId="8" fillId="0" borderId="3" xfId="0" applyNumberFormat="1" applyFont="1" applyFill="1" applyBorder="1" applyAlignment="1" applyProtection="1">
      <x:alignment vertical="center"/>
      <x:protection locked="1" hidden="0"/>
    </x:xf>
    <x:xf numFmtId="202" fontId="10" fillId="0" borderId="3" xfId="0" applyNumberFormat="1" applyFont="1" applyFill="1" applyBorder="1" applyAlignment="1" applyProtection="1">
      <x:alignment vertical="center"/>
      <x:protection locked="1" hidden="0"/>
    </x:xf>
    <x:xf numFmtId="0" fontId="8" fillId="4" borderId="3" xfId="0" applyNumberFormat="1" applyFont="1" applyFill="1" applyBorder="1" applyAlignment="1" applyProtection="1">
      <x:alignment vertical="center"/>
      <x:protection locked="1" hidden="0"/>
    </x:xf>
    <x:xf numFmtId="202" fontId="10" fillId="4" borderId="3" xfId="0" applyNumberFormat="1" applyFont="1" applyFill="1" applyBorder="1" applyAlignment="1" applyProtection="1">
      <x:alignment vertical="center"/>
      <x:protection locked="1" hidden="0"/>
    </x:xf>
    <x:xf numFmtId="206" fontId="7" fillId="0" borderId="0" xfId="0" applyNumberFormat="1" applyFont="1" applyFill="1" applyBorder="1" applyAlignment="1" applyProtection="1">
      <x:alignment vertical="center"/>
      <x:protection locked="1" hidden="0"/>
    </x:xf>
    <x:xf numFmtId="204" fontId="1" fillId="0" borderId="0" xfId="0" applyNumberFormat="1" applyFont="1" applyFill="1" applyBorder="1" applyAlignment="1" applyProtection="1">
      <x:alignment horizontal="right" vertical="center"/>
      <x:protection locked="1" hidden="0"/>
    </x:xf>
    <x:xf numFmtId="206" fontId="4" fillId="0" borderId="0" xfId="0" applyNumberFormat="1" applyFont="1" applyFill="1" applyBorder="1" applyAlignment="1" applyProtection="1">
      <x:alignment vertical="center"/>
      <x:protection locked="1" hidden="0"/>
    </x:xf>
    <x:xf numFmtId="0" fontId="7" fillId="0" borderId="0" xfId="0" applyNumberFormat="1" applyFont="1" applyFill="1" applyBorder="1" applyAlignment="1" applyProtection="1">
      <x:alignment horizontal="center" vertical="center"/>
      <x:protection locked="1" hidden="0"/>
    </x:xf>
    <x:xf numFmtId="0" fontId="1" fillId="0" borderId="0" xfId="0" applyNumberFormat="1" applyFont="1" applyFill="1" applyBorder="1" applyAlignment="1" applyProtection="1">
      <x:alignment horizontal="center" vertical="center"/>
      <x:protection locked="1" hidden="0"/>
    </x:xf>
    <x:xf numFmtId="202" fontId="9" fillId="0" borderId="0" xfId="0" applyNumberFormat="1" applyFont="1" applyFill="1" applyBorder="1" applyAlignment="1" applyProtection="1">
      <x:alignment vertical="center"/>
      <x:protection locked="1" hidden="0"/>
    </x:xf>
    <x:xf numFmtId="204" fontId="10" fillId="0" borderId="0" xfId="0" applyNumberFormat="1" applyFont="1" applyFill="1" applyBorder="1" applyAlignment="1" applyProtection="1">
      <x:alignment vertical="center"/>
      <x:protection locked="1" hidden="0"/>
    </x:xf>
    <x:xf numFmtId="0" fontId="10" fillId="0" borderId="0" xfId="0" applyNumberFormat="1" applyFont="1" applyFill="1" applyBorder="1" applyAlignment="1" applyProtection="1">
      <x:alignment horizontal="center" vertical="center"/>
      <x:protection locked="1" hidden="0"/>
    </x:xf>
    <x:xf numFmtId="202" fontId="9" fillId="0" borderId="3" xfId="0" applyNumberFormat="1" applyFont="1" applyFill="1" applyBorder="1" applyAlignment="1" applyProtection="1">
      <x:alignment vertical="center"/>
      <x:protection locked="1" hidden="0"/>
    </x:xf>
    <x:xf numFmtId="204" fontId="10" fillId="0" borderId="3" xfId="0" applyNumberFormat="1" applyFont="1" applyFill="1" applyBorder="1" applyAlignment="1" applyProtection="1">
      <x:alignment vertical="center"/>
      <x:protection locked="1" hidden="0"/>
    </x:xf>
    <x:xf numFmtId="0" fontId="10" fillId="0" borderId="3" xfId="0" applyNumberFormat="1" applyFont="1" applyFill="1" applyBorder="1" applyAlignment="1" applyProtection="1">
      <x:alignment horizontal="center" vertical="center"/>
      <x:protection locked="1" hidden="0"/>
    </x:xf>
    <x:xf numFmtId="202" fontId="9" fillId="4" borderId="3" xfId="0" applyNumberFormat="1" applyFont="1" applyFill="1" applyBorder="1" applyAlignment="1" applyProtection="1">
      <x:alignment vertical="center"/>
      <x:protection locked="1" hidden="0"/>
    </x:xf>
    <x:xf numFmtId="204" fontId="10" fillId="4" borderId="3" xfId="0" applyNumberFormat="1" applyFont="1" applyFill="1" applyBorder="1" applyAlignment="1" applyProtection="1">
      <x:alignment vertical="center"/>
      <x:protection locked="1" hidden="0"/>
    </x:xf>
    <x:xf numFmtId="0" fontId="10" fillId="4" borderId="3" xfId="0" applyNumberFormat="1" applyFont="1" applyFill="1" applyBorder="1" applyAlignment="1" applyProtection="1">
      <x:alignment horizontal="center" vertical="center"/>
      <x:protection locked="1" hidden="0"/>
    </x:xf>
    <x:xf numFmtId="0" fontId="10" fillId="0" borderId="0" xfId="0" applyNumberFormat="1" applyFont="1" applyFill="1" applyBorder="1" applyAlignment="1" applyProtection="1">
      <x:alignment vertical="center"/>
      <x:protection locked="1" hidden="0"/>
    </x:xf>
    <x:xf numFmtId="0" fontId="10" fillId="0" borderId="3" xfId="0" applyNumberFormat="1" applyFont="1" applyFill="1" applyBorder="1" applyAlignment="1" applyProtection="1">
      <x:alignment vertical="center"/>
      <x:protection locked="1" hidden="0"/>
    </x:xf>
    <x:xf numFmtId="0" fontId="10" fillId="4" borderId="3" xfId="0" applyNumberFormat="1" applyFont="1" applyFill="1" applyBorder="1" applyAlignment="1" applyProtection="1">
      <x:alignment vertical="center"/>
      <x:protection locked="1" hidden="0"/>
    </x:xf>
    <x:xf numFmtId="207" fontId="10" fillId="4" borderId="3" xfId="0" applyNumberFormat="1" applyFont="1" applyFill="1" applyBorder="1" applyAlignment="1" applyProtection="1">
      <x:alignment vertical="center"/>
      <x:protection locked="1" hidden="0"/>
    </x:xf>
    <x:xf numFmtId="208" fontId="1" fillId="0" borderId="0" xfId="0" applyNumberFormat="1" applyFont="1" applyFill="1" applyBorder="1" applyAlignment="1" applyProtection="1">
      <x:alignment vertical="center"/>
      <x:protection locked="1" hidden="0"/>
    </x:xf>
    <x:xf numFmtId="202" fontId="8" fillId="0" borderId="0" xfId="0" applyNumberFormat="1" applyFont="1" applyFill="1" applyBorder="1" applyAlignment="1" applyProtection="1">
      <x:alignment vertical="center"/>
      <x:protection locked="1" hidden="0"/>
    </x:xf>
    <x:xf numFmtId="204" fontId="8" fillId="0" borderId="0" xfId="0" applyNumberFormat="1" applyFont="1" applyFill="1" applyBorder="1" applyAlignment="1" applyProtection="1">
      <x:alignment vertical="center"/>
      <x:protection locked="1" hidden="0"/>
    </x:xf>
    <x:xf numFmtId="202" fontId="8" fillId="0" borderId="3" xfId="0" applyNumberFormat="1" applyFont="1" applyFill="1" applyBorder="1" applyAlignment="1" applyProtection="1">
      <x:alignment vertical="center"/>
      <x:protection locked="1" hidden="0"/>
    </x:xf>
    <x:xf numFmtId="204" fontId="8" fillId="0" borderId="3" xfId="0" applyNumberFormat="1" applyFont="1" applyFill="1" applyBorder="1" applyAlignment="1" applyProtection="1">
      <x:alignment vertical="center"/>
      <x:protection locked="1" hidden="0"/>
    </x:xf>
    <x:xf numFmtId="202" fontId="8" fillId="4" borderId="3" xfId="0" applyNumberFormat="1" applyFont="1" applyFill="1" applyBorder="1" applyAlignment="1" applyProtection="1">
      <x:alignment vertical="center"/>
      <x:protection locked="1" hidden="0"/>
    </x:xf>
    <x:xf numFmtId="204" fontId="8" fillId="4" borderId="3" xfId="0" applyNumberFormat="1" applyFont="1" applyFill="1" applyBorder="1" applyAlignment="1" applyProtection="1">
      <x:alignment vertical="center"/>
      <x:protection locked="1" hidden="0"/>
    </x:xf>
    <x:xf numFmtId="206" fontId="1" fillId="0" borderId="0" xfId="0" applyNumberFormat="1" applyFont="1" applyFill="1" applyBorder="1" applyAlignment="1" applyProtection="1">
      <x:alignment vertical="center"/>
      <x:protection locked="1" hidden="0"/>
    </x:xf>
    <x:xf numFmtId="0" fontId="14" fillId="0" borderId="0" xfId="0" applyNumberFormat="1" applyFont="1" applyFill="1" applyBorder="1" applyAlignment="1" applyProtection="1">
      <x:alignment vertical="center"/>
      <x:protection locked="1" hidden="0"/>
    </x:xf>
    <x:xf numFmtId="207" fontId="1" fillId="0" borderId="0" xfId="0" applyNumberFormat="1" applyFont="1" applyFill="1" applyBorder="1" applyAlignment="1" applyProtection="1">
      <x:alignment vertical="center"/>
      <x:protection locked="1" hidden="0"/>
    </x:xf>
    <x:xf numFmtId="207" fontId="8" fillId="0" borderId="0" xfId="0" applyNumberFormat="1" applyFont="1" applyFill="1" applyBorder="1" applyAlignment="1" applyProtection="1">
      <x:alignment vertical="center"/>
      <x:protection locked="1" hidden="0"/>
    </x:xf>
    <x:xf numFmtId="207" fontId="8" fillId="0" borderId="3" xfId="0" applyNumberFormat="1" applyFont="1" applyFill="1" applyBorder="1" applyAlignment="1" applyProtection="1">
      <x:alignment vertical="center"/>
      <x:protection locked="1" hidden="0"/>
    </x:xf>
    <x:xf numFmtId="207" fontId="8" fillId="4" borderId="3" xfId="0" applyNumberFormat="1" applyFont="1" applyFill="1" applyBorder="1" applyAlignment="1" applyProtection="1">
      <x:alignment vertical="center"/>
      <x:protection locked="1" hidden="0"/>
    </x:xf>
    <x:xf numFmtId="0" fontId="3" fillId="0" borderId="0" xfId="0" applyNumberFormat="1" applyFont="1" applyFill="1" applyBorder="1" applyAlignment="1" applyProtection="1">
      <x:alignment vertical="center"/>
      <x:protection locked="1" hidden="0"/>
    </x:xf>
    <x:xf numFmtId="0" fontId="15" fillId="0" borderId="0" xfId="0" applyNumberFormat="1" applyFont="1" applyFill="1" applyBorder="1" applyAlignment="1" applyProtection="1">
      <x:alignment vertical="center"/>
      <x:protection locked="1" hidden="0"/>
    </x:xf>
    <x:xf numFmtId="0" fontId="3" fillId="0" borderId="0" xfId="0" applyNumberFormat="1" applyFont="1" applyFill="1" applyBorder="1" applyAlignment="1" applyProtection="1">
      <x:alignment vertical="center" wrapText="1"/>
      <x:protection locked="1" hidden="0"/>
    </x:xf>
    <x:xf numFmtId="0" fontId="15" fillId="0" borderId="0" xfId="0" applyNumberFormat="1" applyFont="1" applyFill="1" applyBorder="1" applyAlignment="1" applyProtection="1">
      <x:alignment vertical="center" wrapText="1"/>
      <x:protection locked="1" hidden="0"/>
    </x:xf>
  </x:cellXfs>
  <x:cellStyles count="1">
    <x:cellStyle name="Normal" xfId="0"/>
  </x:cellStyles>
  <x:dxfs count="26">
    <x:dxf>
      <x:font>
        <x:color rgb="FF9C0006"/>
      </x:font>
      <x:fill>
        <x:patternFill patternType="solid">
          <x:bgColor rgb="FFFCE8E6"/>
        </x:patternFill>
      </x:fill>
    </x:dxf>
    <x:dxf>
      <x:font>
        <x:color rgb="FF9C0006"/>
      </x:font>
      <x:fill>
        <x:patternFill patternType="solid">
          <x:bgColor rgb="FFFCE8E6"/>
        </x:patternFill>
      </x:fill>
    </x:dxf>
    <x:dxf>
      <x:font>
        <x:color rgb="FF9C0006"/>
      </x:font>
      <x:fill>
        <x:patternFill patternType="solid">
          <x:bgColor rgb="FFFCE8E6"/>
        </x:patternFill>
      </x:fill>
    </x:dxf>
    <x:dxf>
      <x:font>
        <x:color rgb="FF9C0006"/>
      </x:font>
      <x:fill>
        <x:patternFill patternType="solid">
          <x:bgColor rgb="FFFCE8E6"/>
        </x:patternFill>
      </x:fill>
    </x:dxf>
    <x:dxf>
      <x:font>
        <x:color rgb="FF9C0006"/>
      </x:font>
      <x:fill>
        <x:patternFill patternType="solid">
          <x:bgColor rgb="FFFCE8E6"/>
        </x:patternFill>
      </x:fill>
    </x:dxf>
    <x:dxf>
      <x:font>
        <x:color rgb="FF9C0006"/>
      </x:font>
      <x:fill>
        <x:patternFill patternType="solid">
          <x:bgColor rgb="FFFCE8E6"/>
        </x:patternFill>
      </x:fill>
    </x:dxf>
    <x:dxf>
      <x:font>
        <x:color rgb="FF9C0006"/>
      </x:font>
      <x:fill>
        <x:patternFill patternType="solid">
          <x:bgColor rgb="FFFCE8E6"/>
        </x:patternFill>
      </x:fill>
    </x:dxf>
    <x:dxf>
      <x:font>
        <x:color rgb="FF9C0006"/>
      </x:font>
      <x:fill>
        <x:patternFill patternType="solid">
          <x:bgColor rgb="FFFCE8E6"/>
        </x:patternFill>
      </x:fill>
    </x:dxf>
    <x:dxf>
      <x:font>
        <x:color rgb="FF9C0006"/>
      </x:font>
      <x:fill>
        <x:patternFill patternType="solid">
          <x:bgColor rgb="FFFCE8E6"/>
        </x:patternFill>
      </x:fill>
    </x:dxf>
    <x:dxf>
      <x:font>
        <x:color rgb="FF9C0006"/>
      </x:font>
      <x:fill>
        <x:patternFill patternType="solid">
          <x:bgColor rgb="FFFCE8E6"/>
        </x:patternFill>
      </x:fill>
    </x:dxf>
    <x:dxf>
      <x:font>
        <x:color rgb="FF9C0006"/>
      </x:font>
      <x:fill>
        <x:patternFill patternType="solid">
          <x:bgColor rgb="FFFCE8E6"/>
        </x:patternFill>
      </x:fill>
    </x:dxf>
    <x:dxf>
      <x:font>
        <x:color rgb="FF9C0006"/>
      </x:font>
      <x:fill>
        <x:patternFill patternType="solid">
          <x:bgColor rgb="FFFCE8E6"/>
        </x:patternFill>
      </x:fill>
    </x:dxf>
    <x:dxf>
      <x:font>
        <x:color rgb="FF9C0006"/>
      </x:font>
      <x:fill>
        <x:patternFill patternType="solid">
          <x:bgColor rgb="FFFCE8E6"/>
        </x:patternFill>
      </x:fill>
    </x:dxf>
    <x:dxf>
      <x:font>
        <x:b/>
        <x:color rgb="FF9C0006"/>
      </x:font>
      <x:fill>
        <x:patternFill patternType="solid">
          <x:bgColor rgb="FFFCE8E6"/>
        </x:patternFill>
      </x:fill>
    </x:dxf>
    <x:dxf>
      <x:font>
        <x:b/>
        <x:color rgb="FF9C0006"/>
      </x:font>
      <x:fill>
        <x:patternFill patternType="solid">
          <x:bgColor rgb="FFFCE8E6"/>
        </x:patternFill>
      </x:fill>
    </x:dxf>
    <x:dxf>
      <x:font>
        <x:b/>
        <x:color rgb="FF9C0006"/>
      </x:font>
      <x:fill>
        <x:patternFill patternType="solid">
          <x:bgColor rgb="FFFCE8E6"/>
        </x:patternFill>
      </x:fill>
    </x:dxf>
    <x:dxf>
      <x:font>
        <x:b/>
        <x:color rgb="FF9C0006"/>
      </x:font>
      <x:fill>
        <x:patternFill patternType="solid">
          <x:bgColor rgb="FFFCE8E6"/>
        </x:patternFill>
      </x:fill>
    </x:dxf>
    <x:dxf>
      <x:font>
        <x:b/>
        <x:color rgb="FF9C0006"/>
      </x:font>
      <x:fill>
        <x:patternFill patternType="solid">
          <x:bgColor rgb="FFFCE8E6"/>
        </x:patternFill>
      </x:fill>
    </x:dxf>
    <x:dxf>
      <x:font>
        <x:color rgb="FF9C0006"/>
      </x:font>
    </x:dxf>
    <x:dxf>
      <x:font>
        <x:color rgb="FF9C0006"/>
      </x:font>
    </x:dxf>
    <x:dxf>
      <x:font>
        <x:color rgb="FF9C0006"/>
      </x:font>
    </x:dxf>
    <x:dxf>
      <x:font>
        <x:color rgb="FF9C0006"/>
      </x:font>
    </x:dxf>
    <x:dxf>
      <x:font>
        <x:color rgb="FF9C0006"/>
      </x:font>
    </x:dxf>
    <x:dxf>
      <x:font>
        <x:color rgb="FF9C0006"/>
      </x:font>
    </x:dxf>
    <x:dxf>
      <x:font>
        <x:color rgb="FF9C0006"/>
      </x:font>
    </x:dxf>
    <x:dxf>
      <x:font>
        <x:color rgb="FF9C0006"/>
      </x:font>
    </x:dxf>
  </x:dxfs>
</x:styleSheet>
</file>

<file path=xl/_rels/workbook.xml.rels>&#65279;<?xml version="1.0" encoding="utf-8"?><Relationships xmlns="http://schemas.openxmlformats.org/package/2006/relationships"><Relationship Type="http://schemas.openxmlformats.org/officeDocument/2006/relationships/styles" Target="/xl/styles.xml" Id="Rc007d0c938104cc7" /><Relationship Type="http://schemas.openxmlformats.org/officeDocument/2006/relationships/theme" Target="/xl/theme/theme1.xml" Id="R4af0ce110c8241a6" /><Relationship Type="http://schemas.openxmlformats.org/officeDocument/2006/relationships/sharedStrings" Target="/xl/sharedStrings.xml" Id="R0c96b6c710eb41ae" /><Relationship Type="http://schemas.openxmlformats.org/officeDocument/2006/relationships/worksheet" Target="/xl/worksheets/sheet1.xml" Id="Ra7c87aa9d4f74762" /><Relationship Type="http://schemas.openxmlformats.org/officeDocument/2006/relationships/worksheet" Target="/xl/worksheets/sheet2.xml" Id="Rd565240384e34678" /><Relationship Type="http://schemas.openxmlformats.org/officeDocument/2006/relationships/worksheet" Target="/xl/worksheets/sheet3.xml" Id="Rb90a08282f1f47e2" /><Relationship Type="http://schemas.openxmlformats.org/officeDocument/2006/relationships/worksheet" Target="/xl/worksheets/sheet4.xml" Id="Rdacbe2af18454c99" /><Relationship Type="http://schemas.openxmlformats.org/officeDocument/2006/relationships/worksheet" Target="/xl/worksheets/sheet5.xml" Id="R9dab29e99c2045ce" /><Relationship Type="http://schemas.openxmlformats.org/officeDocument/2006/relationships/worksheet" Target="/xl/worksheets/sheet6.xml" Id="R75d255d460434f5f" /></Relationships>
</file>

<file path=xl/drawings/_rels/drawing1.xml.rels>&#65279;<?xml version="1.0" encoding="utf-8"?><Relationships xmlns="http://schemas.openxmlformats.org/package/2006/relationships"><Relationship Type="http://schemas.openxmlformats.org/officeDocument/2006/relationships/chart" Target="/xl/drawings/charts/chart1.xml" Id="R1301c809f3a849d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Monthly EBITDA (CAD)</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lineChart>
        <c:grouping val="standard"/>
        <c:varyColors val="0"/>
        <c:ser>
          <c:idx val="0"/>
          <c:order val="0"/>
          <c:tx>
            <c:v>Budget EBITDA</c:v>
          </c:tx>
          <c:spPr>
            <a:ln xmlns:a="http://schemas.openxmlformats.org/drawingml/2006/main" w="19050">
              <a:solidFill>
                <a:srgbClr val="8896A6"/>
              </a:solidFill>
              <a:prstDash val="dash"/>
            </a:ln>
          </c:spPr>
          <c:marker>
            <c:symbol val="none"/>
          </c:marker>
          <c:cat>
            <c:strRef>
              <c:f>'Summary'!$C$47:$C$58</c:f>
              <c:strCache>
                <c:ptCount val="0"/>
              </c:strCache>
            </c:strRef>
          </c:cat>
          <c:val>
            <c:numRef>
              <c:f>'Summary'!$D$47:$D$58</c:f>
              <c:numCache>
                <c:formatCode>$0,"K"</c:formatCode>
                <c:ptCount val="0"/>
              </c:numCache>
            </c:numRef>
          </c:val>
          <c:smooth val="0"/>
        </c:ser>
        <c:ser>
          <c:idx val="1"/>
          <c:order val="1"/>
          <c:tx>
            <c:v>Actual + forecast</c:v>
          </c:tx>
          <c:spPr>
            <a:ln xmlns:a="http://schemas.openxmlformats.org/drawingml/2006/main" w="19050">
              <a:solidFill>
                <a:srgbClr val="233D5B"/>
              </a:solidFill>
              <a:prstDash val="solid"/>
            </a:ln>
          </c:spPr>
          <c:marker>
            <c:symbol val="none"/>
          </c:marker>
          <c:cat>
            <c:strRef>
              <c:f>'Summary'!$C$47:$C$58</c:f>
              <c:strCache>
                <c:ptCount val="0"/>
              </c:strCache>
            </c:strRef>
          </c:cat>
          <c:val>
            <c:numRef>
              <c:f>'Summary'!$E$47:$E$58</c:f>
              <c:numCache>
                <c:formatCode>$0,"K"</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quot;K&quot;"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15</xdr:row>
      <xdr:rowOff>0</xdr:rowOff>
    </xdr:from>
    <xdr:to>
      <xdr:col>13</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301c809f3a849d9"/>
        </a:graphicData>
      </a:graphic>
    </xdr:graphicFrame>
    <xdr:clientData/>
  </xdr:twoCellAnchor>
</xdr:wsDr>
</file>

<file path=xl/tables/table1.xml><?xml version="1.0" encoding="utf-8"?>
<x:table xmlns:x="http://schemas.openxmlformats.org/spreadsheetml/2006/main" id="1" name="MonthlySales" displayName="MonthlySales" ref="C8:K44" headerRowCount="1" totalsRowCount="0" totalsRowShown="0">
  <x:autoFilter ref="C8:K44"/>
  <x:tableColumns count="9">
    <x:tableColumn id="1" name="Month"/>
    <x:tableColumn id="2" name="Channel"/>
    <x:tableColumn id="3" name="Product group"/>
    <x:tableColumn id="4" name="Units"/>
    <x:tableColumn id="5" name="Net price / unit"/>
    <x:tableColumn id="6" name="Unit cost"/>
    <x:tableColumn id="7" name="Net revenue"/>
    <x:tableColumn id="8" name="COGS"/>
    <x:tableColumn id="9" name="Record eligib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be0b0de4a3e40e3" /></Relationships>
</file>

<file path=xl/worksheets/_rels/sheet5.xml.rels>&#65279;<?xml version="1.0" encoding="utf-8"?><Relationships xmlns="http://schemas.openxmlformats.org/package/2006/relationships"><Relationship Type="http://schemas.openxmlformats.org/officeDocument/2006/relationships/table" Target="/xl/tables/table1.xml" Id="Rb51799fa076f4bcc" /></Relationships>
</file>

<file path=xl/worksheets/sheet1.xml><?xml version="1.0" encoding="utf-8"?>
<x:worksheet xmlns:x="http://schemas.openxmlformats.org/spreadsheetml/2006/main">
  <x:sheetPr>
    <x:tabColor rgb="FF233D5B"/>
  </x:sheetPr>
  <x:sheetViews>
    <x:sheetView showGridLines="0" workbookViewId="0"/>
  </x:sheetViews>
  <x:sheetFormatPr defaultRowHeight="15"/>
  <x:cols>
    <x:col min="1" max="1" width="2.200000047683716" hidden="0" customWidth="1"/>
    <x:col min="2" max="2" width="2.200000047683716" hidden="0" customWidth="1"/>
    <x:col min="3" max="3" width="39" hidden="0" customWidth="1"/>
    <x:col min="4" max="4" width="13" hidden="0" customWidth="1"/>
    <x:col min="5" max="5" width="13" hidden="0" customWidth="1"/>
    <x:col min="6" max="6" width="13" hidden="0" customWidth="1"/>
    <x:col min="7" max="7" width="13" hidden="0" customWidth="1"/>
    <x:col min="8" max="8" width="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1" ht="20" customHeight="1">
      <x:c r="A1" s="2"/>
      <x:c r="B1" s="2"/>
      <x:c r="C1" s="2"/>
      <x:c r="D1" s="2"/>
      <x:c r="E1" s="2"/>
      <x:c r="F1" s="2"/>
      <x:c r="G1" s="2"/>
      <x:c r="H1" s="2"/>
      <x:c r="I1" s="2"/>
      <x:c r="J1" s="2"/>
      <x:c r="K1" s="2"/>
      <x:c r="L1" s="2"/>
      <x:c r="M1" s="2"/>
      <x:c r="N1" s="2"/>
    </x:row>
    <x:row r="2" ht="29" customHeight="1">
      <x:c r="A2" s="2"/>
      <x:c r="B2" s="2"/>
      <x:c r="C2" s="3" t="str">
        <x:v>Northline Trading: FP&amp;A model</x:v>
      </x:c>
      <x:c r="D2" s="2"/>
      <x:c r="E2" s="2"/>
      <x:c r="F2" s="2"/>
      <x:c r="G2" s="2"/>
      <x:c r="H2" s="2"/>
      <x:c r="I2" s="2"/>
      <x:c r="J2" s="2"/>
      <x:c r="K2" s="2"/>
      <x:c r="L2" s="2"/>
      <x:c r="M2" s="2"/>
      <x:c r="N2" s="2"/>
    </x:row>
    <x:row r="3" ht="23" customHeight="1">
      <x:c r="A3" s="2"/>
      <x:c r="B3" s="2"/>
      <x:c r="C3" s="5" t="str">
        <x:v>Simulated Canadian wholesale and e-commerce business. Calendar 2026, CAD.</x:v>
      </x:c>
      <x:c r="D3" s="4"/>
      <x:c r="E3" s="4"/>
      <x:c r="F3" s="4"/>
      <x:c r="G3" s="4"/>
      <x:c r="H3" s="4"/>
      <x:c r="I3" s="4"/>
      <x:c r="J3" s="4"/>
      <x:c r="K3" s="4"/>
      <x:c r="L3" s="4"/>
      <x:c r="M3" s="4"/>
      <x:c r="N3" s="4"/>
    </x:row>
    <x:row r="4" ht="20" customHeight="1">
      <x:c r="A4" s="2"/>
      <x:c r="B4" s="2"/>
      <x:c r="C4" s="2"/>
      <x:c r="D4" s="2"/>
      <x:c r="E4" s="2"/>
      <x:c r="F4" s="2"/>
      <x:c r="G4" s="2"/>
      <x:c r="H4" s="2"/>
      <x:c r="I4" s="2"/>
      <x:c r="J4" s="2"/>
      <x:c r="K4" s="2"/>
      <x:c r="L4" s="2"/>
      <x:c r="M4" s="2"/>
      <x:c r="N4" s="2"/>
    </x:row>
    <x:row r="5" ht="20" customHeight="1">
      <x:c r="A5" s="2"/>
      <x:c r="B5" s="2"/>
      <x:c r="C5" s="2" t="str">
        <x:v>Case selected:</x:v>
      </x:c>
      <x:c r="D5" s="8" t="str">
        <x:f>'Assumptions'!E5</x:f>
        <x:v>Base</x:v>
      </x:c>
      <x:c r="E5" s="2"/>
      <x:c r="F5" s="2"/>
      <x:c r="G5" s="2" t="str">
        <x:v>Actuals through</x:v>
      </x:c>
      <x:c r="H5" s="2"/>
      <x:c r="I5" s="9" t="n">
        <x:f>'Actuals'!I5</x:f>
        <x:v>46203</x:v>
      </x:c>
      <x:c r="J5" s="2"/>
      <x:c r="K5" s="2"/>
      <x:c r="L5" s="2"/>
      <x:c r="M5" s="2"/>
      <x:c r="N5" s="2"/>
    </x:row>
    <x:row r="6" ht="20" customHeight="1">
      <x:c r="A6" s="2"/>
      <x:c r="B6" s="2"/>
      <x:c r="C6" s="2"/>
      <x:c r="D6" s="2"/>
      <x:c r="E6" s="2"/>
      <x:c r="F6" s="2"/>
      <x:c r="G6" s="2"/>
      <x:c r="H6" s="2"/>
      <x:c r="I6" s="2"/>
      <x:c r="J6" s="2"/>
      <x:c r="K6" s="2"/>
      <x:c r="L6" s="2"/>
      <x:c r="M6" s="2"/>
      <x:c r="N6" s="2"/>
    </x:row>
    <x:row r="7" ht="30" customHeight="1">
      <x:c r="A7" s="2"/>
      <x:c r="B7" s="2"/>
      <x:c r="C7" s="28" t="str">
        <x:v>Metric</x:v>
      </x:c>
      <x:c r="D7" s="28" t="str">
        <x:v>H1 budget</x:v>
      </x:c>
      <x:c r="E7" s="28" t="str">
        <x:v>H1 actual</x:v>
      </x:c>
      <x:c r="F7" s="28" t="str">
        <x:v>Variance</x:v>
      </x:c>
      <x:c r="G7" s="28" t="str">
        <x:v>Variance %</x:v>
      </x:c>
      <x:c r="H7" s="2"/>
      <x:c r="I7" s="28" t="str">
        <x:v>2026 budget</x:v>
      </x:c>
      <x:c r="J7" s="28" t="str">
        <x:v>2026 outlook</x:v>
      </x:c>
      <x:c r="K7" s="28" t="str">
        <x:v>Variance</x:v>
      </x:c>
      <x:c r="L7" s="28" t="str">
        <x:v>Variance %</x:v>
      </x:c>
      <x:c r="M7" s="2"/>
      <x:c r="N7" s="2"/>
    </x:row>
    <x:row r="8" ht="25" customHeight="1">
      <x:c r="A8" s="2"/>
      <x:c r="B8" s="2"/>
      <x:c r="C8" s="2" t="str">
        <x:v>Revenue</x:v>
      </x:c>
      <x:c r="D8" s="39" t="n">
        <x:f>'Operating Model'!E23</x:f>
        <x:v>1710240</x:v>
      </x:c>
      <x:c r="E8" s="39" t="n">
        <x:f>'Operating Model'!E57</x:f>
        <x:v>1683767.28</x:v>
      </x:c>
      <x:c r="F8" s="39" t="n">
        <x:f>E8-D8</x:f>
        <x:v>-26472.719999999972</x:v>
      </x:c>
      <x:c r="G8" s="47" t="n">
        <x:f>IF(D8=0,NA(),F8/D8)</x:f>
        <x:v>-0.015478950322761701</x:v>
      </x:c>
      <x:c r="H8" s="39"/>
      <x:c r="I8" s="39" t="n">
        <x:f>'Operating Model'!D23</x:f>
        <x:v>3921600</x:v>
      </x:c>
      <x:c r="J8" s="39" t="n">
        <x:f>'Operating Model'!D57</x:f>
        <x:v>3917049.6000000006</x:v>
      </x:c>
      <x:c r="K8" s="39" t="n">
        <x:f>J8-I8</x:f>
        <x:v>-4550.399999999441</x:v>
      </x:c>
      <x:c r="L8" s="47" t="n">
        <x:f>IF(I8=0,NA(),K8/I8)</x:f>
        <x:v>-0.0011603427172581194</x:v>
      </x:c>
      <x:c r="M8" s="2"/>
      <x:c r="N8" s="2"/>
    </x:row>
    <x:row r="9" ht="25" customHeight="1">
      <x:c r="A9" s="2"/>
      <x:c r="B9" s="2"/>
      <x:c r="C9" s="2" t="str">
        <x:v>Gross profit</x:v>
      </x:c>
      <x:c r="D9" s="39" t="n">
        <x:f>'Operating Model'!E25</x:f>
        <x:v>724960</x:v>
      </x:c>
      <x:c r="E9" s="39" t="n">
        <x:f>'Operating Model'!E59</x:f>
        <x:v>676515.04</x:v>
      </x:c>
      <x:c r="F9" s="39" t="n">
        <x:f>E9-D9</x:f>
        <x:v>-48444.95999999996</x:v>
      </x:c>
      <x:c r="G9" s="47" t="n">
        <x:f>IF(D9=0,NA(),F9/D9)</x:f>
        <x:v>-0.06682432134186708</x:v>
      </x:c>
      <x:c r="H9" s="39"/>
      <x:c r="I9" s="39" t="n">
        <x:f>'Operating Model'!D25</x:f>
        <x:v>1670400</x:v>
      </x:c>
      <x:c r="J9" s="39" t="n">
        <x:f>'Operating Model'!D59</x:f>
        <x:v>1612745.2</x:v>
      </x:c>
      <x:c r="K9" s="39" t="n">
        <x:f>J9-I9</x:f>
        <x:v>-57654.80000000005</x:v>
      </x:c>
      <x:c r="L9" s="47" t="n">
        <x:f>IF(I9=0,NA(),K9/I9)</x:f>
        <x:v>-0.034515565134099646</x:v>
      </x:c>
      <x:c r="M9" s="2"/>
      <x:c r="N9" s="2"/>
    </x:row>
    <x:row r="10" ht="25" customHeight="1">
      <x:c r="A10" s="2"/>
      <x:c r="B10" s="2"/>
      <x:c r="C10" s="2" t="str">
        <x:v>Gross margin</x:v>
      </x:c>
      <x:c r="D10" s="47" t="n">
        <x:f>'Operating Model'!E26</x:f>
        <x:v>0.42389372251847696</x:v>
      </x:c>
      <x:c r="E10" s="47" t="n">
        <x:f>'Operating Model'!E60</x:f>
        <x:v>0.401786546178757</x:v>
      </x:c>
      <x:c r="F10" s="84" t="n">
        <x:f>(E10-D10)*100</x:f>
        <x:v>-2.2107176339719983</x:v>
      </x:c>
      <x:c r="G10" s="60" t="str">
        <x:v>n.a.</x:v>
      </x:c>
      <x:c r="H10" s="47"/>
      <x:c r="I10" s="47" t="n">
        <x:f>'Operating Model'!D26</x:f>
        <x:v>0.4259485924112607</x:v>
      </x:c>
      <x:c r="J10" s="47" t="n">
        <x:f>'Operating Model'!D60</x:f>
        <x:v>0.411724477525125</x:v>
      </x:c>
      <x:c r="K10" s="84" t="n">
        <x:f>(J10-I10)*100</x:f>
        <x:v>-1.422411488613573</x:v>
      </x:c>
      <x:c r="L10" s="60" t="str">
        <x:v>n.a.</x:v>
      </x:c>
      <x:c r="M10" s="2"/>
      <x:c r="N10" s="2"/>
    </x:row>
    <x:row r="11" ht="25" customHeight="1">
      <x:c r="A11" s="2"/>
      <x:c r="B11" s="2"/>
      <x:c r="C11" s="2" t="str">
        <x:v>Operating expenses</x:v>
      </x:c>
      <x:c r="D11" s="39" t="n">
        <x:f>'Operating Model'!E38</x:f>
        <x:v>488286.79999999993</x:v>
      </x:c>
      <x:c r="E11" s="39" t="n">
        <x:f>'Operating Model'!E72</x:f>
        <x:v>521307.36</x:v>
      </x:c>
      <x:c r="F11" s="39" t="n">
        <x:f>E11-D11</x:f>
        <x:v>33020.560000000056</x:v>
      </x:c>
      <x:c r="G11" s="47" t="n">
        <x:f>IF(D11=0,NA(),F11/D11)</x:f>
        <x:v>0.06762533822335574</x:v>
      </x:c>
      <x:c r="H11" s="39"/>
      <x:c r="I11" s="39" t="n">
        <x:f>'Operating Model'!D38</x:f>
        <x:v>1028771.9999999999</x:v>
      </x:c>
      <x:c r="J11" s="39" t="n">
        <x:f>'Operating Model'!D72</x:f>
        <x:v>1082730.2888</x:v>
      </x:c>
      <x:c r="K11" s="39" t="n">
        <x:f>J11-I11</x:f>
        <x:v>53958.2888000001</x:v>
      </x:c>
      <x:c r="L11" s="47" t="n">
        <x:f>IF(I11=0,NA(),K11/I11)</x:f>
        <x:v>0.05244921984657446</x:v>
      </x:c>
      <x:c r="M11" s="2"/>
      <x:c r="N11" s="2"/>
    </x:row>
    <x:row r="12" ht="25" customHeight="1">
      <x:c r="A12" s="2"/>
      <x:c r="B12" s="2"/>
      <x:c r="C12" s="57" t="str">
        <x:v>EBITDA</x:v>
      </x:c>
      <x:c r="D12" s="82" t="n">
        <x:f>'Operating Model'!E39</x:f>
        <x:v>236673.19999999998</x:v>
      </x:c>
      <x:c r="E12" s="82" t="n">
        <x:f>'Operating Model'!E73</x:f>
        <x:v>155207.68000000005</x:v>
      </x:c>
      <x:c r="F12" s="82" t="n">
        <x:f>E12-D12</x:f>
        <x:v>-81465.51999999993</x:v>
      </x:c>
      <x:c r="G12" s="83" t="n">
        <x:f>IF(D12=0,NA(),F12/D12)</x:f>
        <x:v>-0.3442110048793017</x:v>
      </x:c>
      <x:c r="H12" s="39"/>
      <x:c r="I12" s="82" t="n">
        <x:f>'Operating Model'!D39</x:f>
        <x:v>641628</x:v>
      </x:c>
      <x:c r="J12" s="82" t="n">
        <x:f>'Operating Model'!D73</x:f>
        <x:v>530014.9112</x:v>
      </x:c>
      <x:c r="K12" s="82" t="n">
        <x:f>J12-I12</x:f>
        <x:v>-111613.08880000003</x:v>
      </x:c>
      <x:c r="L12" s="83" t="n">
        <x:f>IF(I12=0,NA(),K12/I12)</x:f>
        <x:v>-0.17395295841203942</x:v>
      </x:c>
      <x:c r="M12" s="2"/>
      <x:c r="N12" s="2"/>
    </x:row>
    <x:row r="13" ht="25" customHeight="1">
      <x:c r="A13" s="2"/>
      <x:c r="B13" s="2"/>
      <x:c r="C13" s="2" t="str">
        <x:v>EBITDA margin</x:v>
      </x:c>
      <x:c r="D13" s="47" t="n">
        <x:f>'Operating Model'!E40</x:f>
        <x:v>0.13838595752642902</x:v>
      </x:c>
      <x:c r="E13" s="47" t="n">
        <x:f>'Operating Model'!E74</x:f>
        <x:v>0.09217881939124037</x:v>
      </x:c>
      <x:c r="F13" s="84" t="n">
        <x:f>(E13-D13)*100</x:f>
        <x:v>-4.620713813518865</x:v>
      </x:c>
      <x:c r="G13" s="60" t="str">
        <x:v>n.a.</x:v>
      </x:c>
      <x:c r="H13" s="47"/>
      <x:c r="I13" s="47" t="n">
        <x:f>'Operating Model'!D40</x:f>
        <x:v>0.1636138310893513</x:v>
      </x:c>
      <x:c r="J13" s="47" t="n">
        <x:f>'Operating Model'!D74</x:f>
        <x:v>0.13530972679028622</x:v>
      </x:c>
      <x:c r="K13" s="84" t="n">
        <x:f>(J13-I13)*100</x:f>
        <x:v>-2.8304104299065074</x:v>
      </x:c>
      <x:c r="L13" s="60" t="str">
        <x:v>n.a.</x:v>
      </x:c>
      <x:c r="M13" s="2"/>
      <x:c r="N13" s="2"/>
    </x:row>
    <x:row r="14" ht="20" customHeight="1">
      <x:c r="A14" s="2"/>
      <x:c r="B14" s="2"/>
      <x:c r="C14" s="2"/>
      <x:c r="D14" s="2"/>
      <x:c r="E14" s="2"/>
      <x:c r="F14" s="2"/>
      <x:c r="G14" s="2"/>
      <x:c r="H14" s="2"/>
      <x:c r="I14" s="2"/>
      <x:c r="J14" s="2"/>
      <x:c r="K14" s="2"/>
      <x:c r="L14" s="2"/>
      <x:c r="M14" s="2"/>
      <x:c r="N14" s="2"/>
    </x:row>
    <x:row r="15" ht="20" customHeight="1">
      <x:c r="A15" s="2"/>
      <x:c r="B15" s="2"/>
      <x:c r="C15" s="2"/>
      <x:c r="D15" s="2"/>
      <x:c r="E15" s="2"/>
      <x:c r="F15" s="2"/>
      <x:c r="G15" s="2"/>
      <x:c r="H15" s="2"/>
      <x:c r="I15" s="2"/>
      <x:c r="J15" s="2"/>
      <x:c r="K15" s="2"/>
      <x:c r="L15" s="2"/>
      <x:c r="M15" s="2"/>
      <x:c r="N15" s="2"/>
    </x:row>
    <x:row r="16" ht="20" customHeight="1">
      <x:c r="A16" s="2"/>
      <x:c r="B16" s="2"/>
      <x:c r="C16" s="85" t="str">
        <x:v>H1 EBITDA variance drivers</x:v>
      </x:c>
      <x:c r="D16" s="2"/>
      <x:c r="E16" s="2"/>
      <x:c r="F16" s="2"/>
      <x:c r="G16" s="2"/>
      <x:c r="H16" s="2"/>
      <x:c r="I16" s="2"/>
      <x:c r="J16" s="2"/>
      <x:c r="K16" s="2"/>
      <x:c r="L16" s="2"/>
      <x:c r="M16" s="2"/>
      <x:c r="N16" s="2"/>
    </x:row>
    <x:row r="17" ht="20" customHeight="1">
      <x:c r="A17" s="2"/>
      <x:c r="B17" s="2"/>
      <x:c r="C17" s="2"/>
      <x:c r="D17" s="2"/>
      <x:c r="E17" s="2"/>
      <x:c r="F17" s="2"/>
      <x:c r="G17" s="2"/>
      <x:c r="H17" s="2"/>
      <x:c r="I17" s="2"/>
      <x:c r="J17" s="2"/>
      <x:c r="K17" s="2"/>
      <x:c r="L17" s="2"/>
      <x:c r="M17" s="2"/>
      <x:c r="N17" s="2"/>
    </x:row>
    <x:row r="18" ht="25" customHeight="1">
      <x:c r="A18" s="2"/>
      <x:c r="B18" s="2"/>
      <x:c r="C18" s="11" t="str">
        <x:v>Driver</x:v>
      </x:c>
      <x:c r="D18" s="11" t="str">
        <x:v>Impact CAD</x:v>
      </x:c>
      <x:c r="E18" s="2"/>
      <x:c r="F18" s="2"/>
      <x:c r="G18" s="2"/>
      <x:c r="H18" s="2"/>
      <x:c r="I18" s="2"/>
      <x:c r="J18" s="2"/>
      <x:c r="K18" s="2"/>
      <x:c r="L18" s="2"/>
      <x:c r="M18" s="2"/>
      <x:c r="N18" s="2"/>
    </x:row>
    <x:row r="19" ht="26" customHeight="1">
      <x:c r="A19" s="2"/>
      <x:c r="B19" s="2"/>
      <x:c r="C19" s="2" t="str">
        <x:v>Sales volume</x:v>
      </x:c>
      <x:c r="D19" s="86" t="n">
        <x:f>SUM('Variance'!D28,'Variance'!D31)</x:f>
        <x:v>11952</x:v>
      </x:c>
      <x:c r="E19" s="2"/>
      <x:c r="F19" s="2"/>
      <x:c r="G19" s="2"/>
      <x:c r="H19" s="2"/>
      <x:c r="I19" s="2"/>
      <x:c r="J19" s="2"/>
      <x:c r="K19" s="2"/>
      <x:c r="L19" s="2"/>
      <x:c r="M19" s="2"/>
      <x:c r="N19" s="2"/>
    </x:row>
    <x:row r="20" ht="26" customHeight="1">
      <x:c r="A20" s="2"/>
      <x:c r="B20" s="2"/>
      <x:c r="C20" s="2" t="str">
        <x:v>Selling price / product mix</x:v>
      </x:c>
      <x:c r="D20" s="86" t="n">
        <x:f>SUM('Variance'!D29,'Variance'!D32)</x:f>
        <x:v>-34368.71999999996</x:v>
      </x:c>
      <x:c r="E20" s="2"/>
      <x:c r="F20" s="2"/>
      <x:c r="G20" s="2"/>
      <x:c r="H20" s="2"/>
      <x:c r="I20" s="2"/>
      <x:c r="J20" s="2"/>
      <x:c r="K20" s="2"/>
      <x:c r="L20" s="2"/>
      <x:c r="M20" s="2"/>
      <x:c r="N20" s="2"/>
    </x:row>
    <x:row r="21" ht="26" customHeight="1">
      <x:c r="A21" s="2"/>
      <x:c r="B21" s="2"/>
      <x:c r="C21" s="2" t="str">
        <x:v>Supplier cost / product mix</x:v>
      </x:c>
      <x:c r="D21" s="86" t="n">
        <x:f>SUM('Variance'!D30,'Variance'!D33)</x:f>
        <x:v>-26028.240000000027</x:v>
      </x:c>
      <x:c r="E21" s="2"/>
      <x:c r="F21" s="2"/>
      <x:c r="G21" s="2"/>
      <x:c r="H21" s="2"/>
      <x:c r="I21" s="2"/>
      <x:c r="J21" s="2"/>
      <x:c r="K21" s="2"/>
      <x:c r="L21" s="2"/>
      <x:c r="M21" s="2"/>
      <x:c r="N21" s="2"/>
    </x:row>
    <x:row r="22" ht="26" customHeight="1">
      <x:c r="A22" s="2"/>
      <x:c r="B22" s="2"/>
      <x:c r="C22" s="2" t="str">
        <x:v>Operating expenses</x:v>
      </x:c>
      <x:c r="D22" s="86" t="n">
        <x:f>SUM('Variance'!D34:D37)</x:f>
        <x:v>-33020.56</x:v>
      </x:c>
      <x:c r="E22" s="2"/>
      <x:c r="F22" s="2"/>
      <x:c r="G22" s="2"/>
      <x:c r="H22" s="2"/>
      <x:c r="I22" s="2"/>
      <x:c r="J22" s="2"/>
      <x:c r="K22" s="2"/>
      <x:c r="L22" s="2"/>
      <x:c r="M22" s="2"/>
      <x:c r="N22" s="2"/>
    </x:row>
    <x:row r="23" ht="20" customHeight="1">
      <x:c r="A23" s="2"/>
      <x:c r="B23" s="2"/>
      <x:c r="C23" s="2"/>
      <x:c r="D23" s="2"/>
      <x:c r="E23" s="2"/>
      <x:c r="F23" s="2"/>
      <x:c r="G23" s="2"/>
      <x:c r="H23" s="2"/>
      <x:c r="I23" s="2"/>
      <x:c r="J23" s="2"/>
      <x:c r="K23" s="2"/>
      <x:c r="L23" s="2"/>
      <x:c r="M23" s="2"/>
      <x:c r="N23" s="2"/>
    </x:row>
    <x:row r="24" ht="26" customHeight="1">
      <x:c r="A24" s="2"/>
      <x:c r="B24" s="2"/>
      <x:c r="C24" s="57" t="str">
        <x:v>Total EBITDA variance</x:v>
      </x:c>
      <x:c r="D24" s="89" t="n">
        <x:f>'Variance'!D39</x:f>
        <x:v>-81465.51999999999</x:v>
      </x:c>
      <x:c r="E24" s="2"/>
      <x:c r="F24" s="2"/>
      <x:c r="G24" s="2"/>
      <x:c r="H24" s="2"/>
      <x:c r="I24" s="2"/>
      <x:c r="J24" s="2"/>
      <x:c r="K24" s="2"/>
      <x:c r="L24" s="2"/>
      <x:c r="M24" s="2"/>
      <x:c r="N24" s="2"/>
    </x:row>
    <x:row r="25" ht="20" customHeight="1">
      <x:c r="A25" s="2"/>
      <x:c r="B25" s="2"/>
      <x:c r="C25" s="2"/>
      <x:c r="D25" s="2"/>
      <x:c r="E25" s="2"/>
      <x:c r="F25" s="2"/>
      <x:c r="G25" s="2"/>
      <x:c r="H25" s="2"/>
      <x:c r="I25" s="2"/>
      <x:c r="J25" s="2"/>
      <x:c r="K25" s="2"/>
      <x:c r="L25" s="2"/>
      <x:c r="M25" s="2"/>
      <x:c r="N25" s="2"/>
    </x:row>
    <x:row r="26" ht="20" customHeight="1">
      <x:c r="A26" s="2"/>
      <x:c r="B26" s="2"/>
      <x:c r="C26" s="2"/>
      <x:c r="D26" s="2"/>
      <x:c r="E26" s="2"/>
      <x:c r="F26" s="2"/>
      <x:c r="G26" s="2"/>
      <x:c r="H26" s="2"/>
      <x:c r="I26" s="2"/>
      <x:c r="J26" s="2"/>
      <x:c r="K26" s="2"/>
      <x:c r="L26" s="2"/>
      <x:c r="M26" s="2"/>
      <x:c r="N26" s="2"/>
    </x:row>
    <x:row r="27" ht="20" customHeight="1">
      <x:c r="A27" s="2"/>
      <x:c r="B27" s="2"/>
      <x:c r="C27" s="90" t="str">
        <x:v>Positive amounts improve EBITDA.</x:v>
      </x:c>
      <x:c r="D27" s="90"/>
      <x:c r="E27" s="2"/>
      <x:c r="F27" s="2"/>
      <x:c r="G27" s="2"/>
      <x:c r="H27" s="2"/>
      <x:c r="I27" s="2"/>
      <x:c r="J27" s="2"/>
      <x:c r="K27" s="2"/>
      <x:c r="L27" s="2"/>
      <x:c r="M27" s="2"/>
      <x:c r="N27" s="2"/>
    </x:row>
    <x:row r="28" ht="20" customHeight="1">
      <x:c r="A28" s="2"/>
      <x:c r="B28" s="2"/>
      <x:c r="C28" s="90" t="str">
        <x:v>Negative amounts reduce EBITDA.</x:v>
      </x:c>
      <x:c r="D28" s="90"/>
      <x:c r="E28" s="2"/>
      <x:c r="F28" s="2"/>
      <x:c r="G28" s="2"/>
      <x:c r="H28" s="2"/>
      <x:c r="I28" s="2"/>
      <x:c r="J28" s="2"/>
      <x:c r="K28" s="2"/>
      <x:c r="L28" s="2"/>
      <x:c r="M28" s="2"/>
      <x:c r="N28" s="2"/>
    </x:row>
    <x:row r="29" ht="20" customHeight="1">
      <x:c r="A29" s="2"/>
      <x:c r="B29" s="2"/>
      <x:c r="C29" s="2"/>
      <x:c r="D29" s="2"/>
      <x:c r="E29" s="2"/>
      <x:c r="F29" s="2"/>
      <x:c r="G29" s="2"/>
      <x:c r="H29" s="2"/>
      <x:c r="I29" s="2"/>
      <x:c r="J29" s="2"/>
      <x:c r="K29" s="2"/>
      <x:c r="L29" s="2"/>
      <x:c r="M29" s="2"/>
      <x:c r="N29" s="2"/>
    </x:row>
    <x:row r="30" ht="20" customHeight="1">
      <x:c r="A30" s="2"/>
      <x:c r="B30" s="2"/>
      <x:c r="C30" s="2"/>
      <x:c r="D30" s="2"/>
      <x:c r="E30" s="2"/>
      <x:c r="F30" s="2"/>
      <x:c r="G30" s="2"/>
      <x:c r="H30" s="2"/>
      <x:c r="I30" s="2"/>
      <x:c r="J30" s="2"/>
      <x:c r="K30" s="2"/>
      <x:c r="L30" s="2"/>
      <x:c r="M30" s="2"/>
      <x:c r="N30" s="2"/>
    </x:row>
    <x:row r="31" ht="20" customHeight="1">
      <x:c r="A31" s="2"/>
      <x:c r="B31" s="2"/>
      <x:c r="C31" s="2"/>
      <x:c r="D31" s="2"/>
      <x:c r="E31" s="2"/>
      <x:c r="F31" s="2"/>
      <x:c r="G31" s="2"/>
      <x:c r="H31" s="2"/>
      <x:c r="I31" s="2"/>
      <x:c r="J31" s="2"/>
      <x:c r="K31" s="2"/>
      <x:c r="L31" s="2"/>
      <x:c r="M31" s="2"/>
      <x:c r="N31" s="2"/>
    </x:row>
    <x:row r="32" ht="20" customHeight="1">
      <x:c r="A32" s="2"/>
      <x:c r="B32" s="2"/>
      <x:c r="C32" s="2"/>
      <x:c r="D32" s="2"/>
      <x:c r="E32" s="2"/>
      <x:c r="F32" s="2"/>
      <x:c r="G32" s="91" t="str">
        <x:v>A = actual. F = forecast. Amounts in CAD; K = thousands.</x:v>
      </x:c>
      <x:c r="H32" s="2"/>
      <x:c r="I32" s="2"/>
      <x:c r="J32" s="2"/>
      <x:c r="K32" s="2"/>
      <x:c r="L32" s="2"/>
      <x:c r="M32" s="2"/>
      <x:c r="N32" s="2"/>
    </x:row>
    <x:row r="33" ht="20" customHeight="1">
      <x:c r="A33" s="2"/>
      <x:c r="B33" s="2"/>
      <x:c r="C33" s="85" t="str">
        <x:v>Management actions</x:v>
      </x:c>
      <x:c r="D33" s="2"/>
      <x:c r="E33" s="2"/>
      <x:c r="F33" s="2"/>
      <x:c r="G33" s="2"/>
      <x:c r="H33" s="2"/>
      <x:c r="I33" s="2"/>
      <x:c r="J33" s="2"/>
      <x:c r="K33" s="2"/>
      <x:c r="L33" s="2"/>
      <x:c r="M33" s="2"/>
      <x:c r="N33" s="2"/>
    </x:row>
    <x:row r="34" ht="20" customHeight="1">
      <x:c r="A34" s="2"/>
      <x:c r="B34" s="2"/>
      <x:c r="C34" s="2"/>
      <x:c r="D34" s="2"/>
      <x:c r="E34" s="2"/>
      <x:c r="F34" s="2"/>
      <x:c r="G34" s="2"/>
      <x:c r="H34" s="2"/>
      <x:c r="I34" s="2"/>
      <x:c r="J34" s="2"/>
      <x:c r="K34" s="2"/>
      <x:c r="L34" s="2"/>
      <x:c r="M34" s="2"/>
      <x:c r="N34" s="2"/>
    </x:row>
    <x:row r="35" ht="20" customHeight="1">
      <x:c r="A35" s="2"/>
      <x:c r="B35" s="2"/>
      <x:c r="C35" s="21" t="str">
        <x:v>Pricing: review online discounting and product mix before increasing sales targets.</x:v>
      </x:c>
      <x:c r="D35" s="21"/>
      <x:c r="E35" s="21"/>
      <x:c r="F35" s="21"/>
      <x:c r="G35" s="21"/>
      <x:c r="H35" s="21"/>
      <x:c r="I35" s="21"/>
      <x:c r="J35" s="21"/>
      <x:c r="K35" s="21"/>
      <x:c r="L35" s="21"/>
      <x:c r="M35" s="21"/>
      <x:c r="N35" s="2"/>
    </x:row>
    <x:row r="36" ht="20" customHeight="1">
      <x:c r="A36" s="2"/>
      <x:c r="B36" s="2"/>
      <x:c r="C36" s="2"/>
      <x:c r="D36" s="2"/>
      <x:c r="E36" s="2"/>
      <x:c r="F36" s="2"/>
      <x:c r="G36" s="2"/>
      <x:c r="H36" s="2"/>
      <x:c r="I36" s="2"/>
      <x:c r="J36" s="2"/>
      <x:c r="K36" s="2"/>
      <x:c r="L36" s="2"/>
      <x:c r="M36" s="2"/>
      <x:c r="N36" s="2"/>
    </x:row>
    <x:row r="37" ht="20" customHeight="1">
      <x:c r="A37" s="2"/>
      <x:c r="B37" s="2"/>
      <x:c r="C37" s="21" t="str">
        <x:v>Purchasing: prioritize supplier negotiations where unit-cost inflation offsets volume gains.</x:v>
      </x:c>
      <x:c r="D37" s="21"/>
      <x:c r="E37" s="21"/>
      <x:c r="F37" s="21"/>
      <x:c r="G37" s="21"/>
      <x:c r="H37" s="21"/>
      <x:c r="I37" s="21"/>
      <x:c r="J37" s="21"/>
      <x:c r="K37" s="21"/>
      <x:c r="L37" s="21"/>
      <x:c r="M37" s="21"/>
      <x:c r="N37" s="2"/>
    </x:row>
    <x:row r="38" ht="20" customHeight="1">
      <x:c r="A38" s="2"/>
      <x:c r="B38" s="2"/>
      <x:c r="C38" s="2"/>
      <x:c r="D38" s="2"/>
      <x:c r="E38" s="2"/>
      <x:c r="F38" s="2"/>
      <x:c r="G38" s="2"/>
      <x:c r="H38" s="2"/>
      <x:c r="I38" s="2"/>
      <x:c r="J38" s="2"/>
      <x:c r="K38" s="2"/>
      <x:c r="L38" s="2"/>
      <x:c r="M38" s="2"/>
      <x:c r="N38" s="2"/>
    </x:row>
    <x:row r="39" ht="20" customHeight="1">
      <x:c r="A39" s="2"/>
      <x:c r="B39" s="2"/>
      <x:c r="C39" s="21" t="str">
        <x:v>Marketing: review spend against gross profit contribution and fulfilment cost, not revenue alone.</x:v>
      </x:c>
      <x:c r="D39" s="21"/>
      <x:c r="E39" s="21"/>
      <x:c r="F39" s="21"/>
      <x:c r="G39" s="21"/>
      <x:c r="H39" s="21"/>
      <x:c r="I39" s="21"/>
      <x:c r="J39" s="21"/>
      <x:c r="K39" s="21"/>
      <x:c r="L39" s="21"/>
      <x:c r="M39" s="21"/>
      <x:c r="N39" s="2"/>
    </x:row>
    <x:row r="40" ht="20" customHeight="1">
      <x:c r="A40" s="2"/>
      <x:c r="B40" s="2"/>
      <x:c r="C40" s="2"/>
      <x:c r="D40" s="2"/>
      <x:c r="E40" s="2"/>
      <x:c r="F40" s="2"/>
      <x:c r="G40" s="2"/>
      <x:c r="H40" s="2"/>
      <x:c r="I40" s="2"/>
      <x:c r="J40" s="2"/>
      <x:c r="K40" s="2"/>
      <x:c r="L40" s="2"/>
      <x:c r="M40" s="2"/>
      <x:c r="N40" s="2"/>
    </x:row>
    <x:row r="41" ht="20" customHeight="1">
      <x:c r="A41" s="2"/>
      <x:c r="B41" s="2"/>
      <x:c r="C41" s="2"/>
      <x:c r="D41" s="2"/>
      <x:c r="E41" s="2"/>
      <x:c r="F41" s="2"/>
      <x:c r="G41" s="2"/>
      <x:c r="H41" s="2"/>
      <x:c r="I41" s="2"/>
      <x:c r="J41" s="2"/>
      <x:c r="K41" s="2"/>
      <x:c r="L41" s="2"/>
      <x:c r="M41" s="2"/>
      <x:c r="N41" s="2"/>
    </x:row>
    <x:row r="42" ht="20" customHeight="1">
      <x:c r="A42" s="2"/>
      <x:c r="B42" s="2"/>
      <x:c r="C42" s="92" t="str">
        <x:v>Use Assumptions!D5 to switch cases. Only July-December changes; January-June stays actual.</x:v>
      </x:c>
      <x:c r="D42" s="21"/>
      <x:c r="E42" s="21"/>
      <x:c r="F42" s="21"/>
      <x:c r="G42" s="21"/>
      <x:c r="H42" s="21"/>
      <x:c r="I42" s="21"/>
      <x:c r="J42" s="21"/>
      <x:c r="K42" s="21"/>
      <x:c r="L42" s="21"/>
      <x:c r="M42" s="21"/>
      <x:c r="N42" s="2"/>
    </x:row>
    <x:row r="43" ht="20" customHeight="1">
      <x:c r="A43" s="2"/>
      <x:c r="B43" s="2"/>
      <x:c r="C43" s="2"/>
      <x:c r="D43" s="2"/>
      <x:c r="E43" s="2"/>
      <x:c r="F43" s="2"/>
      <x:c r="G43" s="2"/>
      <x:c r="H43" s="2"/>
      <x:c r="I43" s="2"/>
      <x:c r="J43" s="2"/>
      <x:c r="K43" s="2"/>
      <x:c r="L43" s="2"/>
      <x:c r="M43" s="2"/>
      <x:c r="N43" s="2"/>
    </x:row>
    <x:row r="44" ht="20" customHeight="1">
      <x:c r="A44" s="2"/>
      <x:c r="B44" s="2"/>
      <x:c r="C44" s="93" t="str">
        <x:v>Prepared by Trimanjeev Sawhney. Independent project using simulated data.</x:v>
      </x:c>
      <x:c r="D44" s="21"/>
      <x:c r="E44" s="21"/>
      <x:c r="F44" s="21"/>
      <x:c r="G44" s="21"/>
      <x:c r="H44" s="21"/>
      <x:c r="I44" s="21"/>
      <x:c r="J44" s="21"/>
      <x:c r="K44" s="21"/>
      <x:c r="L44" s="21"/>
      <x:c r="M44" s="21"/>
      <x:c r="N44" s="2"/>
    </x:row>
    <x:row r="45" ht="20" customHeight="1">
      <x:c r="A45" s="2"/>
      <x:c r="B45" s="2"/>
      <x:c r="C45" s="2"/>
      <x:c r="D45" s="2"/>
      <x:c r="E45" s="2"/>
      <x:c r="F45" s="2"/>
      <x:c r="G45" s="2"/>
      <x:c r="H45" s="2"/>
      <x:c r="I45" s="2"/>
      <x:c r="J45" s="2"/>
      <x:c r="K45" s="2"/>
      <x:c r="L45" s="2"/>
      <x:c r="M45" s="2"/>
      <x:c r="N45" s="2"/>
    </x:row>
    <x:row r="46" ht="20" customHeight="1">
      <x:c r="A46" s="2"/>
      <x:c r="B46" s="2"/>
      <x:c r="C46" s="2" t="str">
        <x:v>Month</x:v>
      </x:c>
      <x:c r="D46" s="2" t="str">
        <x:v>Budget EBITDA</x:v>
      </x:c>
      <x:c r="E46" s="2" t="str">
        <x:v>Actual + forecast</x:v>
      </x:c>
      <x:c r="F46" s="2"/>
      <x:c r="G46" s="2"/>
      <x:c r="H46" s="2"/>
      <x:c r="I46" s="2"/>
      <x:c r="J46" s="2"/>
      <x:c r="K46" s="2"/>
      <x:c r="L46" s="2"/>
      <x:c r="M46" s="2"/>
      <x:c r="N46" s="2"/>
    </x:row>
    <x:row r="47" ht="20" customHeight="1">
      <x:c r="A47" s="2"/>
      <x:c r="B47" s="2"/>
      <x:c r="C47" s="2" t="str">
        <x:v>Jan A</x:v>
      </x:c>
      <x:c r="D47" s="39" t="n">
        <x:f>'Operating Model'!G39</x:f>
        <x:v>26827.399999999994</x:v>
      </x:c>
      <x:c r="E47" s="39" t="n">
        <x:f>'Operating Model'!G73</x:f>
        <x:v>20813.28</x:v>
      </x:c>
      <x:c r="F47" s="2"/>
      <x:c r="G47" s="2"/>
      <x:c r="H47" s="2"/>
      <x:c r="I47" s="2"/>
      <x:c r="J47" s="2"/>
      <x:c r="K47" s="2"/>
      <x:c r="L47" s="2"/>
      <x:c r="M47" s="2"/>
      <x:c r="N47" s="2"/>
    </x:row>
    <x:row r="48" ht="20" customHeight="1">
      <x:c r="A48" s="2"/>
      <x:c r="B48" s="2"/>
      <x:c r="C48" s="2" t="str">
        <x:v>Feb A</x:v>
      </x:c>
      <x:c r="D48" s="39" t="n">
        <x:f>'Operating Model'!H39</x:f>
        <x:v>28513.800000000003</x:v>
      </x:c>
      <x:c r="E48" s="39" t="n">
        <x:f>'Operating Model'!H73</x:f>
        <x:v>19246.01000000001</x:v>
      </x:c>
      <x:c r="F48" s="2"/>
      <x:c r="G48" s="2"/>
      <x:c r="H48" s="2"/>
      <x:c r="I48" s="2"/>
      <x:c r="J48" s="2"/>
      <x:c r="K48" s="2"/>
      <x:c r="L48" s="2"/>
      <x:c r="M48" s="2"/>
      <x:c r="N48" s="2"/>
    </x:row>
    <x:row r="49" ht="20" customHeight="1">
      <x:c r="A49" s="2"/>
      <x:c r="B49" s="2"/>
      <x:c r="C49" s="2" t="str">
        <x:v>Mar A</x:v>
      </x:c>
      <x:c r="D49" s="39" t="n">
        <x:f>'Operating Model'!I39</x:f>
        <x:v>38606.600000000006</x:v>
      </x:c>
      <x:c r="E49" s="39" t="n">
        <x:f>'Operating Model'!I73</x:f>
        <x:v>22747.089999999967</x:v>
      </x:c>
      <x:c r="F49" s="2"/>
      <x:c r="G49" s="2"/>
      <x:c r="H49" s="2"/>
      <x:c r="I49" s="2"/>
      <x:c r="J49" s="2"/>
      <x:c r="K49" s="2"/>
      <x:c r="L49" s="2"/>
      <x:c r="M49" s="2"/>
      <x:c r="N49" s="2"/>
    </x:row>
    <x:row r="50" ht="20" customHeight="1">
      <x:c r="A50" s="2"/>
      <x:c r="B50" s="2"/>
      <x:c r="C50" s="2" t="str">
        <x:v>Apr A</x:v>
      </x:c>
      <x:c r="D50" s="39" t="n">
        <x:f>'Operating Model'!J39</x:f>
        <x:v>43653</x:v>
      </x:c>
      <x:c r="E50" s="39" t="n">
        <x:f>'Operating Model'!J73</x:f>
        <x:v>24106.919999999984</x:v>
      </x:c>
      <x:c r="F50" s="2"/>
      <x:c r="G50" s="2"/>
      <x:c r="H50" s="2"/>
      <x:c r="I50" s="2"/>
      <x:c r="J50" s="2"/>
      <x:c r="K50" s="2"/>
      <x:c r="L50" s="2"/>
      <x:c r="M50" s="2"/>
      <x:c r="N50" s="2"/>
    </x:row>
    <x:row r="51" ht="20" customHeight="1">
      <x:c r="A51" s="2"/>
      <x:c r="B51" s="2"/>
      <x:c r="C51" s="2" t="str">
        <x:v>May A</x:v>
      </x:c>
      <x:c r="D51" s="39" t="n">
        <x:f>'Operating Model'!K39</x:f>
        <x:v>47013</x:v>
      </x:c>
      <x:c r="E51" s="39" t="n">
        <x:f>'Operating Model'!K73</x:f>
        <x:v>29915.110000000044</x:v>
      </x:c>
      <x:c r="F51" s="2"/>
      <x:c r="G51" s="2"/>
      <x:c r="H51" s="2"/>
      <x:c r="I51" s="2"/>
      <x:c r="J51" s="2"/>
      <x:c r="K51" s="2"/>
      <x:c r="L51" s="2"/>
      <x:c r="M51" s="2"/>
      <x:c r="N51" s="2"/>
    </x:row>
    <x:row r="52" ht="20" customHeight="1">
      <x:c r="A52" s="2"/>
      <x:c r="B52" s="2"/>
      <x:c r="C52" s="2" t="str">
        <x:v>Jun A</x:v>
      </x:c>
      <x:c r="D52" s="39" t="n">
        <x:f>'Operating Model'!L39</x:f>
        <x:v>52059.399999999994</x:v>
      </x:c>
      <x:c r="E52" s="39" t="n">
        <x:f>'Operating Model'!L73</x:f>
        <x:v>38379.27000000003</x:v>
      </x:c>
      <x:c r="F52" s="2"/>
      <x:c r="G52" s="2"/>
      <x:c r="H52" s="2"/>
      <x:c r="I52" s="2"/>
      <x:c r="J52" s="2"/>
      <x:c r="K52" s="2"/>
      <x:c r="L52" s="2"/>
      <x:c r="M52" s="2"/>
      <x:c r="N52" s="2"/>
    </x:row>
    <x:row r="53" ht="20" customHeight="1">
      <x:c r="A53" s="2"/>
      <x:c r="B53" s="2"/>
      <x:c r="C53" s="2" t="str">
        <x:v>Jul F</x:v>
      </x:c>
      <x:c r="D53" s="39" t="n">
        <x:f>'Operating Model'!M39</x:f>
        <x:v>43653</x:v>
      </x:c>
      <x:c r="E53" s="39" t="n">
        <x:f>'Operating Model'!M73</x:f>
        <x:v>39473.422399999996</x:v>
      </x:c>
      <x:c r="F53" s="2"/>
      <x:c r="G53" s="2"/>
      <x:c r="H53" s="2"/>
      <x:c r="I53" s="2"/>
      <x:c r="J53" s="2"/>
      <x:c r="K53" s="2"/>
      <x:c r="L53" s="2"/>
      <x:c r="M53" s="2"/>
      <x:c r="N53" s="2"/>
    </x:row>
    <x:row r="54" ht="20" customHeight="1">
      <x:c r="A54" s="2"/>
      <x:c r="B54" s="2"/>
      <x:c r="C54" s="2" t="str">
        <x:v>Aug F</x:v>
      </x:c>
      <x:c r="D54" s="39" t="n">
        <x:f>'Operating Model'!N39</x:f>
        <x:v>48699.399999999994</x:v>
      </x:c>
      <x:c r="E54" s="39" t="n">
        <x:f>'Operating Model'!N73</x:f>
        <x:v>44316.16120000003</x:v>
      </x:c>
      <x:c r="F54" s="2"/>
      <x:c r="G54" s="2"/>
      <x:c r="H54" s="2"/>
      <x:c r="I54" s="2"/>
      <x:c r="J54" s="2"/>
      <x:c r="K54" s="2"/>
      <x:c r="L54" s="2"/>
      <x:c r="M54" s="2"/>
      <x:c r="N54" s="2"/>
    </x:row>
    <x:row r="55" ht="20" customHeight="1">
      <x:c r="A55" s="2"/>
      <x:c r="B55" s="2"/>
      <x:c r="C55" s="2" t="str">
        <x:v>Sep F</x:v>
      </x:c>
      <x:c r="D55" s="39" t="n">
        <x:f>'Operating Model'!O39</x:f>
        <x:v>58792.2</x:v>
      </x:c>
      <x:c r="E55" s="39" t="n">
        <x:f>'Operating Model'!O73</x:f>
        <x:v>54020.84459999997</x:v>
      </x:c>
      <x:c r="F55" s="2"/>
      <x:c r="G55" s="2"/>
      <x:c r="H55" s="2"/>
      <x:c r="I55" s="2"/>
      <x:c r="J55" s="2"/>
      <x:c r="K55" s="2"/>
      <x:c r="L55" s="2"/>
      <x:c r="M55" s="2"/>
      <x:c r="N55" s="2"/>
    </x:row>
    <x:row r="56" ht="20" customHeight="1">
      <x:c r="A56" s="2"/>
      <x:c r="B56" s="2"/>
      <x:c r="C56" s="2" t="str">
        <x:v>Oct F</x:v>
      </x:c>
      <x:c r="D56" s="39" t="n">
        <x:f>'Operating Model'!P39</x:f>
        <x:v>65525</x:v>
      </x:c>
      <x:c r="E56" s="39" t="n">
        <x:f>'Operating Model'!P73</x:f>
        <x:v>60534.48800000003</x:v>
      </x:c>
      <x:c r="F56" s="2"/>
      <x:c r="G56" s="2"/>
      <x:c r="H56" s="2"/>
      <x:c r="I56" s="2"/>
      <x:c r="J56" s="2"/>
      <x:c r="K56" s="2"/>
      <x:c r="L56" s="2"/>
      <x:c r="M56" s="2"/>
      <x:c r="N56" s="2"/>
    </x:row>
    <x:row r="57" ht="20" customHeight="1">
      <x:c r="A57" s="2"/>
      <x:c r="B57" s="2"/>
      <x:c r="C57" s="2" t="str">
        <x:v>Nov F</x:v>
      </x:c>
      <x:c r="D57" s="39" t="n">
        <x:f>'Operating Model'!Q39</x:f>
        <x:v>84049.8</x:v>
      </x:c>
      <x:c r="E57" s="39" t="n">
        <x:f>'Operating Model'!Q73</x:f>
        <x:v>78536.07699999993</x:v>
      </x:c>
      <x:c r="F57" s="2"/>
      <x:c r="G57" s="2"/>
      <x:c r="H57" s="2"/>
      <x:c r="I57" s="2"/>
      <x:c r="J57" s="2"/>
      <x:c r="K57" s="2"/>
      <x:c r="L57" s="2"/>
      <x:c r="M57" s="2"/>
      <x:c r="N57" s="2"/>
    </x:row>
    <x:row r="58" ht="20" customHeight="1">
      <x:c r="A58" s="2"/>
      <x:c r="B58" s="2"/>
      <x:c r="C58" s="2" t="str">
        <x:v>Dec F</x:v>
      </x:c>
      <x:c r="D58" s="39" t="n">
        <x:f>'Operating Model'!R39</x:f>
        <x:v>104235.4</x:v>
      </x:c>
      <x:c r="E58" s="39" t="n">
        <x:f>'Operating Model'!R73</x:f>
        <x:v>97926.23800000001</x:v>
      </x:c>
      <x:c r="F58" s="2"/>
      <x:c r="G58" s="2"/>
      <x:c r="H58" s="2"/>
      <x:c r="I58" s="2"/>
      <x:c r="J58" s="2"/>
      <x:c r="K58" s="2"/>
      <x:c r="L58" s="2"/>
      <x:c r="M58" s="2"/>
      <x:c r="N58" s="2"/>
    </x:row>
    <x:row r="59" ht="20" customHeight="1">
      <x:c r="A59" s="2"/>
      <x:c r="B59" s="2"/>
      <x:c r="C59" s="2"/>
      <x:c r="D59" s="2"/>
      <x:c r="E59" s="2"/>
      <x:c r="F59" s="2"/>
      <x:c r="G59" s="2"/>
      <x:c r="H59" s="2"/>
      <x:c r="I59" s="2"/>
      <x:c r="J59" s="2"/>
      <x:c r="K59" s="2"/>
      <x:c r="L59" s="2"/>
      <x:c r="M59" s="2"/>
      <x:c r="N59" s="2"/>
    </x:row>
    <x:row r="60" ht="20" customHeight="1">
      <x:c r="A60" s="2"/>
      <x:c r="B60" s="2"/>
      <x:c r="C60" s="2"/>
      <x:c r="D60" s="2"/>
      <x:c r="E60" s="2"/>
      <x:c r="F60" s="2"/>
      <x:c r="G60" s="2"/>
      <x:c r="H60" s="2"/>
      <x:c r="I60" s="2"/>
      <x:c r="J60" s="2"/>
      <x:c r="K60" s="2"/>
      <x:c r="L60" s="2"/>
      <x:c r="M60" s="2"/>
      <x:c r="N60" s="2"/>
    </x:row>
    <x:row r="61" ht="20" customHeight="1">
      <x:c r="A61" s="2"/>
      <x:c r="B61" s="2"/>
      <x:c r="C61" s="2"/>
      <x:c r="D61" s="2"/>
      <x:c r="E61" s="2"/>
      <x:c r="F61" s="2"/>
      <x:c r="G61" s="2"/>
      <x:c r="H61" s="2"/>
      <x:c r="I61" s="2"/>
      <x:c r="J61" s="2"/>
      <x:c r="K61" s="2"/>
      <x:c r="L61" s="2"/>
      <x:c r="M61" s="2"/>
      <x:c r="N61" s="2"/>
    </x:row>
    <x:row r="62" ht="20" customHeight="1">
      <x:c r="A62" s="2"/>
      <x:c r="B62" s="2"/>
      <x:c r="C62" s="2"/>
      <x:c r="D62" s="2"/>
      <x:c r="E62" s="2"/>
      <x:c r="F62" s="2"/>
      <x:c r="G62" s="2"/>
      <x:c r="H62" s="2"/>
      <x:c r="I62" s="2"/>
      <x:c r="J62" s="2"/>
      <x:c r="K62" s="2"/>
      <x:c r="L62" s="2"/>
      <x:c r="M62" s="2"/>
      <x:c r="N62" s="2"/>
    </x:row>
    <x:row r="63" ht="20" customHeight="1">
      <x:c r="A63" s="2"/>
      <x:c r="B63" s="2"/>
      <x:c r="C63" s="2"/>
      <x:c r="D63" s="2"/>
      <x:c r="E63" s="2"/>
      <x:c r="F63" s="2"/>
      <x:c r="G63" s="2"/>
      <x:c r="H63" s="2"/>
      <x:c r="I63" s="2"/>
      <x:c r="J63" s="2"/>
      <x:c r="K63" s="2"/>
      <x:c r="L63" s="2"/>
      <x:c r="M63" s="2"/>
      <x:c r="N63" s="2"/>
    </x:row>
  </x:sheetData>
  <x:sheetProtection password="BE0E" sheet="1" objects="1" scenarios="1" formatCells="1" formatColumns="1" formatRows="1" insertColumns="1" insertRows="1" insertHyperlinks="1" deleteColumns="1" deleteRows="1" selectLockedCells="0" sort="1" autoFilter="1" pivotTables="1" selectUnlockedCells="0"/>
  <x:mergeCells>
    <x:mergeCell ref="C35:M35"/>
    <x:mergeCell ref="C37:M37"/>
    <x:mergeCell ref="C39:M39"/>
    <x:mergeCell ref="C42:M42"/>
    <x:mergeCell ref="C44:M44"/>
  </x:mergeCells>
  <x:conditionalFormatting sqref="F8:F8">
    <x:cfRule type="cellIs" dxfId="18" priority="1" operator="lessThan">
      <x:formula>0</x:formula>
    </x:cfRule>
  </x:conditionalFormatting>
  <x:conditionalFormatting sqref="K8:K8">
    <x:cfRule type="cellIs" dxfId="19" priority="2" operator="lessThan">
      <x:formula>0</x:formula>
    </x:cfRule>
  </x:conditionalFormatting>
  <x:conditionalFormatting sqref="F9:F9">
    <x:cfRule type="cellIs" dxfId="20" priority="3" operator="lessThan">
      <x:formula>0</x:formula>
    </x:cfRule>
  </x:conditionalFormatting>
  <x:conditionalFormatting sqref="K9:K9">
    <x:cfRule type="cellIs" dxfId="21" priority="4" operator="lessThan">
      <x:formula>0</x:formula>
    </x:cfRule>
  </x:conditionalFormatting>
  <x:conditionalFormatting sqref="F12:F12">
    <x:cfRule type="cellIs" dxfId="22" priority="5" operator="lessThan">
      <x:formula>0</x:formula>
    </x:cfRule>
  </x:conditionalFormatting>
  <x:conditionalFormatting sqref="K12:K12">
    <x:cfRule type="cellIs" dxfId="23" priority="6" operator="lessThan">
      <x:formula>0</x:formula>
    </x:cfRule>
  </x:conditionalFormatting>
  <x:conditionalFormatting sqref="F11:F11">
    <x:cfRule type="cellIs" dxfId="24" priority="7" operator="greaterThan">
      <x:formula>0</x:formula>
    </x:cfRule>
  </x:conditionalFormatting>
  <x:conditionalFormatting sqref="K11:K11">
    <x:cfRule type="cellIs" dxfId="25" priority="8" operator="greaterThan">
      <x:formula>0</x:formula>
    </x:cfRule>
  </x:conditionalFormatting>
  <x:pageMargins left="0.7" right="0.7" top="0.75" bottom="0.75" header="0.3" footer="0.3"/>
  <x:drawing xmlns:r="http://schemas.openxmlformats.org/officeDocument/2006/relationships" r:id="Rabe0b0de4a3e40e3"/>
</x:worksheet>
</file>

<file path=xl/worksheets/sheet2.xml><?xml version="1.0" encoding="utf-8"?>
<x:worksheet xmlns:x="http://schemas.openxmlformats.org/spreadsheetml/2006/main">
  <x:sheetPr>
    <x:tabColor rgb="FF617B96"/>
  </x:sheetPr>
  <x:sheetViews>
    <x:sheetView showGridLines="0" workbookViewId="0">
      <x:pane xSplit="3" ySplit="7" topLeftCell="D8" activePane="bottomRight" state="frozen"/>
    </x:sheetView>
  </x:sheetViews>
  <x:sheetFormatPr defaultRowHeight="15"/>
  <x:cols>
    <x:col min="1" max="1" width="2.200000047683716" hidden="0" customWidth="1"/>
    <x:col min="2" max="2" width="2.200000047683716" hidden="0" customWidth="1"/>
    <x:col min="3" max="3" width="39" hidden="0" customWidth="1"/>
    <x:col min="4" max="4" width="13" hidden="0" customWidth="1"/>
    <x:col min="5" max="5" width="13" hidden="0" customWidth="1"/>
    <x:col min="6" max="6" width="2.200000047683716"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s>
  <x:sheetData>
    <x:row r="1" ht="20" customHeight="1">
      <x:c r="A1" s="2"/>
      <x:c r="B1" s="2"/>
      <x:c r="C1" s="2"/>
      <x:c r="D1" s="2"/>
      <x:c r="E1" s="2"/>
      <x:c r="F1" s="2"/>
      <x:c r="G1" s="2"/>
      <x:c r="H1" s="2"/>
      <x:c r="I1" s="2"/>
      <x:c r="J1" s="2"/>
      <x:c r="K1" s="2"/>
      <x:c r="L1" s="2"/>
      <x:c r="M1" s="2"/>
      <x:c r="N1" s="2"/>
      <x:c r="O1" s="2"/>
      <x:c r="P1" s="2"/>
      <x:c r="Q1" s="2"/>
      <x:c r="R1" s="2"/>
    </x:row>
    <x:row r="2" ht="29" customHeight="1">
      <x:c r="A2" s="2"/>
      <x:c r="B2" s="2"/>
      <x:c r="C2" s="3" t="str">
        <x:v>Budget and forecast assumptions</x:v>
      </x:c>
      <x:c r="D2" s="2"/>
      <x:c r="E2" s="2"/>
      <x:c r="F2" s="2"/>
      <x:c r="G2" s="2"/>
      <x:c r="H2" s="2"/>
      <x:c r="I2" s="2"/>
      <x:c r="J2" s="2"/>
      <x:c r="K2" s="2"/>
      <x:c r="L2" s="2"/>
      <x:c r="M2" s="2"/>
      <x:c r="N2" s="2"/>
      <x:c r="O2" s="2"/>
      <x:c r="P2" s="2"/>
      <x:c r="Q2" s="2"/>
      <x:c r="R2" s="2"/>
    </x:row>
    <x:row r="3" ht="23" customHeight="1">
      <x:c r="A3" s="2"/>
      <x:c r="B3" s="2"/>
      <x:c r="C3" s="5" t="str">
        <x:v>Blue numbers are editable inputs. Yellow cells control the active forecast.</x:v>
      </x:c>
      <x:c r="D3" s="4"/>
      <x:c r="E3" s="4"/>
      <x:c r="F3" s="4"/>
      <x:c r="G3" s="4"/>
      <x:c r="H3" s="4"/>
      <x:c r="I3" s="4"/>
      <x:c r="J3" s="4"/>
      <x:c r="K3" s="4"/>
      <x:c r="L3" s="4"/>
      <x:c r="M3" s="4"/>
      <x:c r="N3" s="4"/>
      <x:c r="O3" s="4"/>
      <x:c r="P3" s="4"/>
      <x:c r="Q3" s="4"/>
      <x:c r="R3" s="4"/>
    </x:row>
    <x:row r="4" ht="20" customHeight="1">
      <x:c r="A4" s="2"/>
      <x:c r="B4" s="2"/>
      <x:c r="C4" s="2"/>
      <x:c r="D4" s="2"/>
      <x:c r="E4" s="2"/>
      <x:c r="F4" s="2"/>
      <x:c r="G4" s="2"/>
      <x:c r="H4" s="2"/>
      <x:c r="I4" s="2"/>
      <x:c r="J4" s="2"/>
      <x:c r="K4" s="2"/>
      <x:c r="L4" s="2"/>
      <x:c r="M4" s="2"/>
      <x:c r="N4" s="2"/>
      <x:c r="O4" s="2"/>
      <x:c r="P4" s="2"/>
      <x:c r="Q4" s="2"/>
      <x:c r="R4" s="2"/>
    </x:row>
    <x:row r="5" ht="20" customHeight="1">
      <x:c r="A5" s="2"/>
      <x:c r="B5" s="2"/>
      <x:c r="C5" s="2" t="str">
        <x:v>Select case (1, 2 or 3)</x:v>
      </x:c>
      <x:c r="D5" s="24" t="n">
        <x:v>1</x:v>
      </x:c>
      <x:c r="E5" s="17" t="str">
        <x:f>IF(AND(ISNUMBER(D5),D5=INT(D5),D5&gt;=1,D5&lt;=3),CHOOSE(D5,"Base","Upside","Downside"),NA())</x:f>
        <x:v>Base</x:v>
      </x:c>
      <x:c r="F5" s="2"/>
      <x:c r="G5" s="2" t="str">
        <x:v>1 Base   2 Upside   3 Downside</x:v>
      </x:c>
      <x:c r="H5" s="2"/>
      <x:c r="I5" s="2"/>
      <x:c r="J5" s="2"/>
      <x:c r="K5" s="2"/>
      <x:c r="L5" s="2"/>
      <x:c r="M5" s="2"/>
      <x:c r="N5" s="2"/>
      <x:c r="O5" s="2"/>
      <x:c r="P5" s="2"/>
      <x:c r="Q5" s="2"/>
      <x:c r="R5" s="2"/>
    </x:row>
    <x:row r="6" ht="20" customHeight="1">
      <x:c r="A6" s="2"/>
      <x:c r="B6" s="2"/>
      <x:c r="C6" s="2"/>
      <x:c r="D6" s="2"/>
      <x:c r="E6" s="2"/>
      <x:c r="F6" s="2"/>
      <x:c r="G6" s="2"/>
      <x:c r="H6" s="2"/>
      <x:c r="I6" s="2"/>
      <x:c r="J6" s="2"/>
      <x:c r="K6" s="2"/>
      <x:c r="L6" s="2"/>
      <x:c r="M6" s="2"/>
      <x:c r="N6" s="2"/>
      <x:c r="O6" s="2"/>
      <x:c r="P6" s="2"/>
      <x:c r="Q6" s="2"/>
      <x:c r="R6" s="2"/>
    </x:row>
    <x:row r="7" ht="20" customHeight="1">
      <x:c r="A7" s="2"/>
      <x:c r="B7" s="2"/>
      <x:c r="C7" s="11" t="str">
        <x:v>Monthly drivers</x:v>
      </x:c>
      <x:c r="D7" s="28"/>
      <x:c r="E7" s="28"/>
      <x:c r="F7" s="29"/>
      <x:c r="G7" s="30" t="n">
        <x:v>46023</x:v>
      </x:c>
      <x:c r="H7" s="30" t="n">
        <x:v>46054</x:v>
      </x:c>
      <x:c r="I7" s="30" t="n">
        <x:v>46082</x:v>
      </x:c>
      <x:c r="J7" s="30" t="n">
        <x:v>46113</x:v>
      </x:c>
      <x:c r="K7" s="30" t="n">
        <x:v>46143</x:v>
      </x:c>
      <x:c r="L7" s="30" t="n">
        <x:v>46174</x:v>
      </x:c>
      <x:c r="M7" s="30" t="n">
        <x:v>46204</x:v>
      </x:c>
      <x:c r="N7" s="30" t="n">
        <x:v>46235</x:v>
      </x:c>
      <x:c r="O7" s="30" t="n">
        <x:v>46266</x:v>
      </x:c>
      <x:c r="P7" s="30" t="n">
        <x:v>46296</x:v>
      </x:c>
      <x:c r="Q7" s="30" t="n">
        <x:v>46327</x:v>
      </x:c>
      <x:c r="R7" s="30" t="n">
        <x:v>46357</x:v>
      </x:c>
    </x:row>
    <x:row r="8" ht="24" customHeight="1">
      <x:c r="A8" s="2"/>
      <x:c r="B8" s="2"/>
      <x:c r="C8" s="11" t="str">
        <x:v>Original 2026 budget</x:v>
      </x:c>
      <x:c r="D8" s="11"/>
      <x:c r="E8" s="11"/>
      <x:c r="F8" s="11"/>
      <x:c r="G8" s="11"/>
      <x:c r="H8" s="11"/>
      <x:c r="I8" s="11"/>
      <x:c r="J8" s="11"/>
      <x:c r="K8" s="11"/>
      <x:c r="L8" s="11"/>
      <x:c r="M8" s="11"/>
      <x:c r="N8" s="11"/>
      <x:c r="O8" s="11"/>
      <x:c r="P8" s="11"/>
      <x:c r="Q8" s="11"/>
      <x:c r="R8" s="11"/>
    </x:row>
    <x:row r="9" ht="20" customHeight="1">
      <x:c r="A9" s="2"/>
      <x:c r="B9" s="2"/>
      <x:c r="C9" s="2"/>
      <x:c r="D9" s="2"/>
      <x:c r="E9" s="2"/>
      <x:c r="F9" s="2"/>
      <x:c r="G9" s="2"/>
      <x:c r="H9" s="2"/>
      <x:c r="I9" s="2"/>
      <x:c r="J9" s="2"/>
      <x:c r="K9" s="2"/>
      <x:c r="L9" s="2"/>
      <x:c r="M9" s="2"/>
      <x:c r="N9" s="2"/>
      <x:c r="O9" s="2"/>
      <x:c r="P9" s="2"/>
      <x:c r="Q9" s="2"/>
      <x:c r="R9" s="2"/>
    </x:row>
    <x:row r="10" ht="20" customHeight="1">
      <x:c r="A10" s="2"/>
      <x:c r="B10" s="2"/>
      <x:c r="C10" s="2" t="str">
        <x:v>Wholesale units</x:v>
      </x:c>
      <x:c r="D10" s="2"/>
      <x:c r="E10" s="2"/>
      <x:c r="F10" s="2"/>
      <x:c r="G10" s="15" t="n">
        <x:v>3400</x:v>
      </x:c>
      <x:c r="H10" s="15" t="n">
        <x:v>3400</x:v>
      </x:c>
      <x:c r="I10" s="15" t="n">
        <x:v>3800</x:v>
      </x:c>
      <x:c r="J10" s="15" t="n">
        <x:v>4000</x:v>
      </x:c>
      <x:c r="K10" s="15" t="n">
        <x:v>4200</x:v>
      </x:c>
      <x:c r="L10" s="15" t="n">
        <x:v>4400</x:v>
      </x:c>
      <x:c r="M10" s="15" t="n">
        <x:v>4000</x:v>
      </x:c>
      <x:c r="N10" s="15" t="n">
        <x:v>4200</x:v>
      </x:c>
      <x:c r="O10" s="15" t="n">
        <x:v>4600</x:v>
      </x:c>
      <x:c r="P10" s="15" t="n">
        <x:v>4800</x:v>
      </x:c>
      <x:c r="Q10" s="15" t="n">
        <x:v>5200</x:v>
      </x:c>
      <x:c r="R10" s="15" t="n">
        <x:v>6000</x:v>
      </x:c>
    </x:row>
    <x:row r="11" ht="20" customHeight="1">
      <x:c r="A11" s="2"/>
      <x:c r="B11" s="2"/>
      <x:c r="C11" s="2" t="str">
        <x:v>Wholesale price / unit</x:v>
      </x:c>
      <x:c r="D11" s="2"/>
      <x:c r="E11" s="2"/>
      <x:c r="F11" s="2"/>
      <x:c r="G11" s="16" t="n">
        <x:v>48</x:v>
      </x:c>
      <x:c r="H11" s="16" t="n">
        <x:v>48</x:v>
      </x:c>
      <x:c r="I11" s="16" t="n">
        <x:v>48</x:v>
      </x:c>
      <x:c r="J11" s="16" t="n">
        <x:v>48</x:v>
      </x:c>
      <x:c r="K11" s="16" t="n">
        <x:v>48</x:v>
      </x:c>
      <x:c r="L11" s="16" t="n">
        <x:v>48</x:v>
      </x:c>
      <x:c r="M11" s="16" t="n">
        <x:v>48</x:v>
      </x:c>
      <x:c r="N11" s="16" t="n">
        <x:v>48</x:v>
      </x:c>
      <x:c r="O11" s="16" t="n">
        <x:v>48</x:v>
      </x:c>
      <x:c r="P11" s="16" t="n">
        <x:v>48</x:v>
      </x:c>
      <x:c r="Q11" s="16" t="n">
        <x:v>48</x:v>
      </x:c>
      <x:c r="R11" s="16" t="n">
        <x:v>48</x:v>
      </x:c>
    </x:row>
    <x:row r="12" ht="20" customHeight="1">
      <x:c r="A12" s="2"/>
      <x:c r="B12" s="2"/>
      <x:c r="C12" s="2" t="str">
        <x:v>Wholesale cost / unit</x:v>
      </x:c>
      <x:c r="D12" s="2"/>
      <x:c r="E12" s="2"/>
      <x:c r="F12" s="2"/>
      <x:c r="G12" s="16" t="n">
        <x:v>30</x:v>
      </x:c>
      <x:c r="H12" s="16" t="n">
        <x:v>30</x:v>
      </x:c>
      <x:c r="I12" s="16" t="n">
        <x:v>30</x:v>
      </x:c>
      <x:c r="J12" s="16" t="n">
        <x:v>30</x:v>
      </x:c>
      <x:c r="K12" s="16" t="n">
        <x:v>30</x:v>
      </x:c>
      <x:c r="L12" s="16" t="n">
        <x:v>30</x:v>
      </x:c>
      <x:c r="M12" s="16" t="n">
        <x:v>30</x:v>
      </x:c>
      <x:c r="N12" s="16" t="n">
        <x:v>30</x:v>
      </x:c>
      <x:c r="O12" s="16" t="n">
        <x:v>30</x:v>
      </x:c>
      <x:c r="P12" s="16" t="n">
        <x:v>30</x:v>
      </x:c>
      <x:c r="Q12" s="16" t="n">
        <x:v>30</x:v>
      </x:c>
      <x:c r="R12" s="16" t="n">
        <x:v>30</x:v>
      </x:c>
    </x:row>
    <x:row r="13" ht="20" customHeight="1">
      <x:c r="A13" s="2"/>
      <x:c r="B13" s="2"/>
      <x:c r="C13" s="2"/>
      <x:c r="D13" s="2"/>
      <x:c r="E13" s="2"/>
      <x:c r="F13" s="2"/>
      <x:c r="G13" s="2"/>
      <x:c r="H13" s="2"/>
      <x:c r="I13" s="2"/>
      <x:c r="J13" s="2"/>
      <x:c r="K13" s="2"/>
      <x:c r="L13" s="2"/>
      <x:c r="M13" s="2"/>
      <x:c r="N13" s="2"/>
      <x:c r="O13" s="2"/>
      <x:c r="P13" s="2"/>
      <x:c r="Q13" s="2"/>
      <x:c r="R13" s="2"/>
    </x:row>
    <x:row r="14" ht="20" customHeight="1">
      <x:c r="A14" s="2"/>
      <x:c r="B14" s="2"/>
      <x:c r="C14" s="2"/>
      <x:c r="D14" s="2"/>
      <x:c r="E14" s="2"/>
      <x:c r="F14" s="2"/>
      <x:c r="G14" s="2"/>
      <x:c r="H14" s="2"/>
      <x:c r="I14" s="2"/>
      <x:c r="J14" s="2"/>
      <x:c r="K14" s="2"/>
      <x:c r="L14" s="2"/>
      <x:c r="M14" s="2"/>
      <x:c r="N14" s="2"/>
      <x:c r="O14" s="2"/>
      <x:c r="P14" s="2"/>
      <x:c r="Q14" s="2"/>
      <x:c r="R14" s="2"/>
    </x:row>
    <x:row r="15" ht="20" customHeight="1">
      <x:c r="A15" s="2"/>
      <x:c r="B15" s="2"/>
      <x:c r="C15" s="2" t="str">
        <x:v>Online units</x:v>
      </x:c>
      <x:c r="D15" s="2"/>
      <x:c r="E15" s="2"/>
      <x:c r="F15" s="2"/>
      <x:c r="G15" s="15" t="n">
        <x:v>1280</x:v>
      </x:c>
      <x:c r="H15" s="15" t="n">
        <x:v>1360</x:v>
      </x:c>
      <x:c r="I15" s="15" t="n">
        <x:v>1520</x:v>
      </x:c>
      <x:c r="J15" s="15" t="n">
        <x:v>1600</x:v>
      </x:c>
      <x:c r="K15" s="15" t="n">
        <x:v>1600</x:v>
      </x:c>
      <x:c r="L15" s="15" t="n">
        <x:v>1680</x:v>
      </x:c>
      <x:c r="M15" s="15" t="n">
        <x:v>1600</x:v>
      </x:c>
      <x:c r="N15" s="15" t="n">
        <x:v>1680</x:v>
      </x:c>
      <x:c r="O15" s="15" t="n">
        <x:v>1840</x:v>
      </x:c>
      <x:c r="P15" s="15" t="n">
        <x:v>2000</x:v>
      </x:c>
      <x:c r="Q15" s="15" t="n">
        <x:v>2560</x:v>
      </x:c>
      <x:c r="R15" s="15" t="n">
        <x:v>2880</x:v>
      </x:c>
    </x:row>
    <x:row r="16" ht="20" customHeight="1">
      <x:c r="A16" s="2"/>
      <x:c r="B16" s="2"/>
      <x:c r="C16" s="2" t="str">
        <x:v>Online price / unit</x:v>
      </x:c>
      <x:c r="D16" s="2"/>
      <x:c r="E16" s="2"/>
      <x:c r="F16" s="2"/>
      <x:c r="G16" s="16" t="n">
        <x:v>66</x:v>
      </x:c>
      <x:c r="H16" s="16" t="n">
        <x:v>66</x:v>
      </x:c>
      <x:c r="I16" s="16" t="n">
        <x:v>66</x:v>
      </x:c>
      <x:c r="J16" s="16" t="n">
        <x:v>66</x:v>
      </x:c>
      <x:c r="K16" s="16" t="n">
        <x:v>66</x:v>
      </x:c>
      <x:c r="L16" s="16" t="n">
        <x:v>66</x:v>
      </x:c>
      <x:c r="M16" s="16" t="n">
        <x:v>66</x:v>
      </x:c>
      <x:c r="N16" s="16" t="n">
        <x:v>66</x:v>
      </x:c>
      <x:c r="O16" s="16" t="n">
        <x:v>66</x:v>
      </x:c>
      <x:c r="P16" s="16" t="n">
        <x:v>66</x:v>
      </x:c>
      <x:c r="Q16" s="16" t="n">
        <x:v>66</x:v>
      </x:c>
      <x:c r="R16" s="16" t="n">
        <x:v>66</x:v>
      </x:c>
    </x:row>
    <x:row r="17" ht="20" customHeight="1">
      <x:c r="A17" s="2"/>
      <x:c r="B17" s="2"/>
      <x:c r="C17" s="2" t="str">
        <x:v>Online cost / unit</x:v>
      </x:c>
      <x:c r="D17" s="2"/>
      <x:c r="E17" s="2"/>
      <x:c r="F17" s="2"/>
      <x:c r="G17" s="16" t="n">
        <x:v>32</x:v>
      </x:c>
      <x:c r="H17" s="16" t="n">
        <x:v>32</x:v>
      </x:c>
      <x:c r="I17" s="16" t="n">
        <x:v>32</x:v>
      </x:c>
      <x:c r="J17" s="16" t="n">
        <x:v>32</x:v>
      </x:c>
      <x:c r="K17" s="16" t="n">
        <x:v>32</x:v>
      </x:c>
      <x:c r="L17" s="16" t="n">
        <x:v>32</x:v>
      </x:c>
      <x:c r="M17" s="16" t="n">
        <x:v>32</x:v>
      </x:c>
      <x:c r="N17" s="16" t="n">
        <x:v>32</x:v>
      </x:c>
      <x:c r="O17" s="16" t="n">
        <x:v>32</x:v>
      </x:c>
      <x:c r="P17" s="16" t="n">
        <x:v>32</x:v>
      </x:c>
      <x:c r="Q17" s="16" t="n">
        <x:v>32</x:v>
      </x:c>
      <x:c r="R17" s="16" t="n">
        <x:v>32</x:v>
      </x:c>
    </x:row>
    <x:row r="18" ht="20" customHeight="1">
      <x:c r="A18" s="2"/>
      <x:c r="B18" s="2"/>
      <x:c r="C18" s="2"/>
      <x:c r="D18" s="2"/>
      <x:c r="E18" s="2"/>
      <x:c r="F18" s="2"/>
      <x:c r="G18" s="2"/>
      <x:c r="H18" s="2"/>
      <x:c r="I18" s="2"/>
      <x:c r="J18" s="2"/>
      <x:c r="K18" s="2"/>
      <x:c r="L18" s="2"/>
      <x:c r="M18" s="2"/>
      <x:c r="N18" s="2"/>
      <x:c r="O18" s="2"/>
      <x:c r="P18" s="2"/>
      <x:c r="Q18" s="2"/>
      <x:c r="R18" s="2"/>
    </x:row>
    <x:row r="19" ht="20" customHeight="1">
      <x:c r="A19" s="2"/>
      <x:c r="B19" s="2"/>
      <x:c r="C19" s="2"/>
      <x:c r="D19" s="2"/>
      <x:c r="E19" s="2"/>
      <x:c r="F19" s="2"/>
      <x:c r="G19" s="2"/>
      <x:c r="H19" s="2"/>
      <x:c r="I19" s="2"/>
      <x:c r="J19" s="2"/>
      <x:c r="K19" s="2"/>
      <x:c r="L19" s="2"/>
      <x:c r="M19" s="2"/>
      <x:c r="N19" s="2"/>
      <x:c r="O19" s="2"/>
      <x:c r="P19" s="2"/>
      <x:c r="Q19" s="2"/>
      <x:c r="R19" s="2"/>
    </x:row>
    <x:row r="20" ht="20" customHeight="1">
      <x:c r="A20" s="2"/>
      <x:c r="B20" s="2"/>
      <x:c r="C20" s="2" t="str">
        <x:v>Paid FTE</x:v>
      </x:c>
      <x:c r="D20" s="2"/>
      <x:c r="E20" s="2"/>
      <x:c r="F20" s="2"/>
      <x:c r="G20" s="15" t="n">
        <x:v>7</x:v>
      </x:c>
      <x:c r="H20" s="15" t="n">
        <x:v>7</x:v>
      </x:c>
      <x:c r="I20" s="15" t="n">
        <x:v>7</x:v>
      </x:c>
      <x:c r="J20" s="15" t="n">
        <x:v>7</x:v>
      </x:c>
      <x:c r="K20" s="15" t="n">
        <x:v>7</x:v>
      </x:c>
      <x:c r="L20" s="15" t="n">
        <x:v>7</x:v>
      </x:c>
      <x:c r="M20" s="15" t="n">
        <x:v>7</x:v>
      </x:c>
      <x:c r="N20" s="15" t="n">
        <x:v>7</x:v>
      </x:c>
      <x:c r="O20" s="15" t="n">
        <x:v>7</x:v>
      </x:c>
      <x:c r="P20" s="15" t="n">
        <x:v>7</x:v>
      </x:c>
      <x:c r="Q20" s="15" t="n">
        <x:v>7</x:v>
      </x:c>
      <x:c r="R20" s="15" t="n">
        <x:v>7</x:v>
      </x:c>
    </x:row>
    <x:row r="21" ht="20" customHeight="1">
      <x:c r="A21" s="2"/>
      <x:c r="B21" s="2"/>
      <x:c r="C21" s="2" t="str">
        <x:v>Annual salary / FTE</x:v>
      </x:c>
      <x:c r="D21" s="2"/>
      <x:c r="E21" s="2"/>
      <x:c r="F21" s="2"/>
      <x:c r="G21" s="15" t="n">
        <x:v>66000</x:v>
      </x:c>
      <x:c r="H21" s="15" t="n">
        <x:v>66000</x:v>
      </x:c>
      <x:c r="I21" s="15" t="n">
        <x:v>66000</x:v>
      </x:c>
      <x:c r="J21" s="15" t="n">
        <x:v>66000</x:v>
      </x:c>
      <x:c r="K21" s="15" t="n">
        <x:v>66000</x:v>
      </x:c>
      <x:c r="L21" s="15" t="n">
        <x:v>66000</x:v>
      </x:c>
      <x:c r="M21" s="15" t="n">
        <x:v>66000</x:v>
      </x:c>
      <x:c r="N21" s="15" t="n">
        <x:v>66000</x:v>
      </x:c>
      <x:c r="O21" s="15" t="n">
        <x:v>66000</x:v>
      </x:c>
      <x:c r="P21" s="15" t="n">
        <x:v>66000</x:v>
      </x:c>
      <x:c r="Q21" s="15" t="n">
        <x:v>66000</x:v>
      </x:c>
      <x:c r="R21" s="15" t="n">
        <x:v>66000</x:v>
      </x:c>
    </x:row>
    <x:row r="22" ht="20" customHeight="1">
      <x:c r="A22" s="2"/>
      <x:c r="B22" s="2"/>
      <x:c r="C22" s="2" t="str">
        <x:v>Employer cost rate</x:v>
      </x:c>
      <x:c r="D22" s="2"/>
      <x:c r="E22" s="2"/>
      <x:c r="F22" s="2"/>
      <x:c r="G22" s="19" t="n">
        <x:v>0.15</x:v>
      </x:c>
      <x:c r="H22" s="19" t="n">
        <x:v>0.15</x:v>
      </x:c>
      <x:c r="I22" s="19" t="n">
        <x:v>0.15</x:v>
      </x:c>
      <x:c r="J22" s="19" t="n">
        <x:v>0.15</x:v>
      </x:c>
      <x:c r="K22" s="19" t="n">
        <x:v>0.15</x:v>
      </x:c>
      <x:c r="L22" s="19" t="n">
        <x:v>0.15</x:v>
      </x:c>
      <x:c r="M22" s="19" t="n">
        <x:v>0.15</x:v>
      </x:c>
      <x:c r="N22" s="19" t="n">
        <x:v>0.15</x:v>
      </x:c>
      <x:c r="O22" s="19" t="n">
        <x:v>0.15</x:v>
      </x:c>
      <x:c r="P22" s="19" t="n">
        <x:v>0.15</x:v>
      </x:c>
      <x:c r="Q22" s="19" t="n">
        <x:v>0.15</x:v>
      </x:c>
      <x:c r="R22" s="19" t="n">
        <x:v>0.15</x:v>
      </x:c>
    </x:row>
    <x:row r="23" ht="20" customHeight="1">
      <x:c r="A23" s="2"/>
      <x:c r="B23" s="2"/>
      <x:c r="C23" s="2"/>
      <x:c r="D23" s="2"/>
      <x:c r="E23" s="2"/>
      <x:c r="F23" s="2"/>
      <x:c r="G23" s="2"/>
      <x:c r="H23" s="2"/>
      <x:c r="I23" s="2"/>
      <x:c r="J23" s="2"/>
      <x:c r="K23" s="2"/>
      <x:c r="L23" s="2"/>
      <x:c r="M23" s="2"/>
      <x:c r="N23" s="2"/>
      <x:c r="O23" s="2"/>
      <x:c r="P23" s="2"/>
      <x:c r="Q23" s="2"/>
      <x:c r="R23" s="2"/>
    </x:row>
    <x:row r="24" ht="20" customHeight="1">
      <x:c r="A24" s="2"/>
      <x:c r="B24" s="2"/>
      <x:c r="C24" s="2" t="str">
        <x:v>Wholesale delivery / unit</x:v>
      </x:c>
      <x:c r="D24" s="2"/>
      <x:c r="E24" s="2"/>
      <x:c r="F24" s="2"/>
      <x:c r="G24" s="16" t="n">
        <x:v>1.2</x:v>
      </x:c>
      <x:c r="H24" s="16" t="n">
        <x:v>1.2</x:v>
      </x:c>
      <x:c r="I24" s="16" t="n">
        <x:v>1.2</x:v>
      </x:c>
      <x:c r="J24" s="16" t="n">
        <x:v>1.2</x:v>
      </x:c>
      <x:c r="K24" s="16" t="n">
        <x:v>1.2</x:v>
      </x:c>
      <x:c r="L24" s="16" t="n">
        <x:v>1.2</x:v>
      </x:c>
      <x:c r="M24" s="16" t="n">
        <x:v>1.2</x:v>
      </x:c>
      <x:c r="N24" s="16" t="n">
        <x:v>1.2</x:v>
      </x:c>
      <x:c r="O24" s="16" t="n">
        <x:v>1.2</x:v>
      </x:c>
      <x:c r="P24" s="16" t="n">
        <x:v>1.2</x:v>
      </x:c>
      <x:c r="Q24" s="16" t="n">
        <x:v>1.2</x:v>
      </x:c>
      <x:c r="R24" s="16" t="n">
        <x:v>1.2</x:v>
      </x:c>
    </x:row>
    <x:row r="25" ht="20" customHeight="1">
      <x:c r="A25" s="2"/>
      <x:c r="B25" s="2"/>
      <x:c r="C25" s="2" t="str">
        <x:v>Online fulfilment / unit</x:v>
      </x:c>
      <x:c r="D25" s="2"/>
      <x:c r="E25" s="2"/>
      <x:c r="F25" s="2"/>
      <x:c r="G25" s="16" t="n">
        <x:v>5</x:v>
      </x:c>
      <x:c r="H25" s="16" t="n">
        <x:v>5</x:v>
      </x:c>
      <x:c r="I25" s="16" t="n">
        <x:v>5</x:v>
      </x:c>
      <x:c r="J25" s="16" t="n">
        <x:v>5</x:v>
      </x:c>
      <x:c r="K25" s="16" t="n">
        <x:v>5</x:v>
      </x:c>
      <x:c r="L25" s="16" t="n">
        <x:v>5</x:v>
      </x:c>
      <x:c r="M25" s="16" t="n">
        <x:v>5</x:v>
      </x:c>
      <x:c r="N25" s="16" t="n">
        <x:v>5</x:v>
      </x:c>
      <x:c r="O25" s="16" t="n">
        <x:v>5</x:v>
      </x:c>
      <x:c r="P25" s="16" t="n">
        <x:v>5</x:v>
      </x:c>
      <x:c r="Q25" s="16" t="n">
        <x:v>5</x:v>
      </x:c>
      <x:c r="R25" s="16" t="n">
        <x:v>5</x:v>
      </x:c>
    </x:row>
    <x:row r="26" ht="20" customHeight="1">
      <x:c r="A26" s="2"/>
      <x:c r="B26" s="2"/>
      <x:c r="C26" s="2"/>
      <x:c r="D26" s="2"/>
      <x:c r="E26" s="2"/>
      <x:c r="F26" s="2"/>
      <x:c r="G26" s="2"/>
      <x:c r="H26" s="2"/>
      <x:c r="I26" s="2"/>
      <x:c r="J26" s="2"/>
      <x:c r="K26" s="2"/>
      <x:c r="L26" s="2"/>
      <x:c r="M26" s="2"/>
      <x:c r="N26" s="2"/>
      <x:c r="O26" s="2"/>
      <x:c r="P26" s="2"/>
      <x:c r="Q26" s="2"/>
      <x:c r="R26" s="2"/>
    </x:row>
    <x:row r="27" ht="20" customHeight="1">
      <x:c r="A27" s="2"/>
      <x:c r="B27" s="2"/>
      <x:c r="C27" s="2" t="str">
        <x:v>Marketing / online revenue</x:v>
      </x:c>
      <x:c r="D27" s="2"/>
      <x:c r="E27" s="2"/>
      <x:c r="F27" s="2"/>
      <x:c r="G27" s="19" t="n">
        <x:v>0.12</x:v>
      </x:c>
      <x:c r="H27" s="19" t="n">
        <x:v>0.12</x:v>
      </x:c>
      <x:c r="I27" s="19" t="n">
        <x:v>0.12</x:v>
      </x:c>
      <x:c r="J27" s="19" t="n">
        <x:v>0.12</x:v>
      </x:c>
      <x:c r="K27" s="19" t="n">
        <x:v>0.12</x:v>
      </x:c>
      <x:c r="L27" s="19" t="n">
        <x:v>0.12</x:v>
      </x:c>
      <x:c r="M27" s="19" t="n">
        <x:v>0.12</x:v>
      </x:c>
      <x:c r="N27" s="19" t="n">
        <x:v>0.12</x:v>
      </x:c>
      <x:c r="O27" s="19" t="n">
        <x:v>0.12</x:v>
      </x:c>
      <x:c r="P27" s="19" t="n">
        <x:v>0.12</x:v>
      </x:c>
      <x:c r="Q27" s="19" t="n">
        <x:v>0.12</x:v>
      </x:c>
      <x:c r="R27" s="19" t="n">
        <x:v>0.12</x:v>
      </x:c>
    </x:row>
    <x:row r="28" ht="20" customHeight="1">
      <x:c r="A28" s="2"/>
      <x:c r="B28" s="2"/>
      <x:c r="C28" s="2" t="str">
        <x:v>Fixed operating expenses</x:v>
      </x:c>
      <x:c r="D28" s="2"/>
      <x:c r="E28" s="2"/>
      <x:c r="F28" s="2"/>
      <x:c r="G28" s="15" t="n">
        <x:v>13000</x:v>
      </x:c>
      <x:c r="H28" s="15" t="n">
        <x:v>13000</x:v>
      </x:c>
      <x:c r="I28" s="15" t="n">
        <x:v>13000</x:v>
      </x:c>
      <x:c r="J28" s="15" t="n">
        <x:v>13000</x:v>
      </x:c>
      <x:c r="K28" s="15" t="n">
        <x:v>13000</x:v>
      </x:c>
      <x:c r="L28" s="15" t="n">
        <x:v>13000</x:v>
      </x:c>
      <x:c r="M28" s="15" t="n">
        <x:v>13000</x:v>
      </x:c>
      <x:c r="N28" s="15" t="n">
        <x:v>13000</x:v>
      </x:c>
      <x:c r="O28" s="15" t="n">
        <x:v>13000</x:v>
      </x:c>
      <x:c r="P28" s="15" t="n">
        <x:v>13000</x:v>
      </x:c>
      <x:c r="Q28" s="15" t="n">
        <x:v>13000</x:v>
      </x:c>
      <x:c r="R28" s="15" t="n">
        <x:v>13000</x:v>
      </x:c>
    </x:row>
    <x:row r="29" ht="20" customHeight="1">
      <x:c r="A29" s="2"/>
      <x:c r="B29" s="2"/>
      <x:c r="C29" s="2"/>
      <x:c r="D29" s="2"/>
      <x:c r="E29" s="2"/>
      <x:c r="F29" s="2"/>
      <x:c r="G29" s="2"/>
      <x:c r="H29" s="2"/>
      <x:c r="I29" s="2"/>
      <x:c r="J29" s="2"/>
      <x:c r="K29" s="2"/>
      <x:c r="L29" s="2"/>
      <x:c r="M29" s="2"/>
      <x:c r="N29" s="2"/>
      <x:c r="O29" s="2"/>
      <x:c r="P29" s="2"/>
      <x:c r="Q29" s="2"/>
      <x:c r="R29" s="2"/>
    </x:row>
    <x:row r="30" ht="20" customHeight="1">
      <x:c r="A30" s="2"/>
      <x:c r="B30" s="2"/>
      <x:c r="C30" s="2" t="str">
        <x:v>Budget is the baseline. Change the case inputs below for forecast decisions.</x:v>
      </x:c>
      <x:c r="D30" s="2"/>
      <x:c r="E30" s="2"/>
      <x:c r="F30" s="2"/>
      <x:c r="G30" s="2"/>
      <x:c r="H30" s="2"/>
      <x:c r="I30" s="2"/>
      <x:c r="J30" s="2"/>
      <x:c r="K30" s="2"/>
      <x:c r="L30" s="2"/>
      <x:c r="M30" s="2"/>
      <x:c r="N30" s="2"/>
      <x:c r="O30" s="2"/>
      <x:c r="P30" s="2"/>
      <x:c r="Q30" s="2"/>
      <x:c r="R30" s="2"/>
    </x:row>
    <x:row r="31" ht="20" customHeight="1">
      <x:c r="A31" s="2"/>
      <x:c r="B31" s="2"/>
      <x:c r="C31" s="2"/>
      <x:c r="D31" s="2"/>
      <x:c r="E31" s="2"/>
      <x:c r="F31" s="2"/>
      <x:c r="G31" s="2"/>
      <x:c r="H31" s="2"/>
      <x:c r="I31" s="2"/>
      <x:c r="J31" s="2"/>
      <x:c r="K31" s="2"/>
      <x:c r="L31" s="2"/>
      <x:c r="M31" s="2"/>
      <x:c r="N31" s="2"/>
      <x:c r="O31" s="2"/>
      <x:c r="P31" s="2"/>
      <x:c r="Q31" s="2"/>
      <x:c r="R31" s="2"/>
    </x:row>
    <x:row r="32" ht="20" customHeight="1">
      <x:c r="A32" s="2"/>
      <x:c r="B32" s="2"/>
      <x:c r="C32" s="2"/>
      <x:c r="D32" s="2"/>
      <x:c r="E32" s="2"/>
      <x:c r="F32" s="2"/>
      <x:c r="G32" s="2"/>
      <x:c r="H32" s="2"/>
      <x:c r="I32" s="2"/>
      <x:c r="J32" s="2"/>
      <x:c r="K32" s="2"/>
      <x:c r="L32" s="2"/>
      <x:c r="M32" s="2"/>
      <x:c r="N32" s="2"/>
      <x:c r="O32" s="2"/>
      <x:c r="P32" s="2"/>
      <x:c r="Q32" s="2"/>
      <x:c r="R32" s="2"/>
    </x:row>
    <x:row r="33" ht="24" customHeight="1">
      <x:c r="A33" s="2"/>
      <x:c r="B33" s="2"/>
      <x:c r="C33" s="11" t="str">
        <x:v>Forecast assumptions</x:v>
      </x:c>
      <x:c r="D33" s="11"/>
      <x:c r="E33" s="11"/>
      <x:c r="F33" s="11"/>
      <x:c r="G33" s="11"/>
      <x:c r="H33" s="11"/>
      <x:c r="I33" s="11"/>
      <x:c r="J33" s="11"/>
      <x:c r="K33" s="11"/>
      <x:c r="L33" s="11"/>
      <x:c r="M33" s="11"/>
      <x:c r="N33" s="11"/>
      <x:c r="O33" s="11"/>
      <x:c r="P33" s="11"/>
      <x:c r="Q33" s="11"/>
      <x:c r="R33" s="11"/>
    </x:row>
    <x:row r="34" ht="20" customHeight="1">
      <x:c r="A34" s="2"/>
      <x:c r="B34" s="2"/>
      <x:c r="C34" s="2" t="str">
        <x:v>Jan-Jun active rows show observed actual drivers. Jul-Dec selects the case below.</x:v>
      </x:c>
      <x:c r="D34" s="2"/>
      <x:c r="E34" s="2"/>
      <x:c r="F34" s="2"/>
      <x:c r="G34" s="2"/>
      <x:c r="H34" s="2"/>
      <x:c r="I34" s="2"/>
      <x:c r="J34" s="2"/>
      <x:c r="K34" s="2"/>
      <x:c r="L34" s="2"/>
      <x:c r="M34" s="2"/>
      <x:c r="N34" s="2"/>
      <x:c r="O34" s="2"/>
      <x:c r="P34" s="2"/>
      <x:c r="Q34" s="2"/>
      <x:c r="R34" s="2"/>
    </x:row>
    <x:row r="35" ht="20" customHeight="1">
      <x:c r="A35" s="2"/>
      <x:c r="B35" s="2"/>
      <x:c r="C35" s="2"/>
      <x:c r="D35" s="2"/>
      <x:c r="E35" s="2"/>
      <x:c r="F35" s="2"/>
      <x:c r="G35" s="2"/>
      <x:c r="H35" s="2"/>
      <x:c r="I35" s="2"/>
      <x:c r="J35" s="2"/>
      <x:c r="K35" s="2"/>
      <x:c r="L35" s="2"/>
      <x:c r="M35" s="2"/>
      <x:c r="N35" s="2"/>
      <x:c r="O35" s="2"/>
      <x:c r="P35" s="2"/>
      <x:c r="Q35" s="2"/>
      <x:c r="R35" s="2"/>
    </x:row>
    <x:row r="36" ht="20" customHeight="1">
      <x:c r="A36" s="2"/>
      <x:c r="B36" s="2"/>
      <x:c r="C36" s="2"/>
      <x:c r="D36" s="2"/>
      <x:c r="E36" s="2"/>
      <x:c r="F36" s="2"/>
      <x:c r="G36" s="2"/>
      <x:c r="H36" s="2"/>
      <x:c r="I36" s="2"/>
      <x:c r="J36" s="2"/>
      <x:c r="K36" s="2"/>
      <x:c r="L36" s="2"/>
      <x:c r="M36" s="2"/>
      <x:c r="N36" s="2"/>
      <x:c r="O36" s="2"/>
      <x:c r="P36" s="2"/>
      <x:c r="Q36" s="2"/>
      <x:c r="R36" s="2"/>
    </x:row>
    <x:row r="37" ht="20" customHeight="1">
      <x:c r="A37" s="2"/>
      <x:c r="B37" s="2"/>
      <x:c r="C37" s="32" t="str">
        <x:v>Wholesale volume / budget</x:v>
      </x:c>
      <x:c r="D37" s="32" t="str">
        <x:v>Active</x:v>
      </x:c>
      <x:c r="E37" s="32"/>
      <x:c r="F37" s="32"/>
      <x:c r="G37" s="36" t="n">
        <x:f>'Operating Model'!G43/'Operating Model'!G9</x:f>
        <x:v>0.97</x:v>
      </x:c>
      <x:c r="H37" s="36" t="n">
        <x:f>'Operating Model'!H43/'Operating Model'!H9</x:f>
        <x:v>0.96</x:v>
      </x:c>
      <x:c r="I37" s="36" t="n">
        <x:f>'Operating Model'!I43/'Operating Model'!I9</x:f>
        <x:v>0.94</x:v>
      </x:c>
      <x:c r="J37" s="36" t="n">
        <x:f>'Operating Model'!J43/'Operating Model'!J9</x:f>
        <x:v>0.92</x:v>
      </x:c>
      <x:c r="K37" s="36" t="n">
        <x:f>'Operating Model'!K43/'Operating Model'!K9</x:f>
        <x:v>0.95</x:v>
      </x:c>
      <x:c r="L37" s="36" t="n">
        <x:f>'Operating Model'!L43/'Operating Model'!L9</x:f>
        <x:v>0.96</x:v>
      </x:c>
      <x:c r="M37" s="37" t="n">
        <x:f>IF(ISERROR($E$5),NA(),IF(CHOOSE($D$5,AND(ISNUMBER(M38),M38&gt;=0),AND(ISNUMBER(M39),M39&gt;=0),AND(ISNUMBER(M40),M40&gt;=0)),CHOOSE($D$5,M38,M39,M40),NA()))</x:f>
        <x:v>0.96</x:v>
      </x:c>
      <x:c r="N37" s="37" t="n">
        <x:f>IF(ISERROR($E$5),NA(),IF(CHOOSE($D$5,AND(ISNUMBER(N38),N38&gt;=0),AND(ISNUMBER(N39),N39&gt;=0),AND(ISNUMBER(N40),N40&gt;=0)),CHOOSE($D$5,N38,N39,N40),NA()))</x:f>
        <x:v>0.96</x:v>
      </x:c>
      <x:c r="O37" s="37" t="n">
        <x:f>IF(ISERROR($E$5),NA(),IF(CHOOSE($D$5,AND(ISNUMBER(O38),O38&gt;=0),AND(ISNUMBER(O39),O39&gt;=0),AND(ISNUMBER(O40),O40&gt;=0)),CHOOSE($D$5,O38,O39,O40),NA()))</x:f>
        <x:v>0.96</x:v>
      </x:c>
      <x:c r="P37" s="37" t="n">
        <x:f>IF(ISERROR($E$5),NA(),IF(CHOOSE($D$5,AND(ISNUMBER(P38),P38&gt;=0),AND(ISNUMBER(P39),P39&gt;=0),AND(ISNUMBER(P40),P40&gt;=0)),CHOOSE($D$5,P38,P39,P40),NA()))</x:f>
        <x:v>0.96</x:v>
      </x:c>
      <x:c r="Q37" s="37" t="n">
        <x:f>IF(ISERROR($E$5),NA(),IF(CHOOSE($D$5,AND(ISNUMBER(Q38),Q38&gt;=0),AND(ISNUMBER(Q39),Q39&gt;=0),AND(ISNUMBER(Q40),Q40&gt;=0)),CHOOSE($D$5,Q38,Q39,Q40),NA()))</x:f>
        <x:v>0.96</x:v>
      </x:c>
      <x:c r="R37" s="37" t="n">
        <x:f>IF(ISERROR($E$5),NA(),IF(CHOOSE($D$5,AND(ISNUMBER(R38),R38&gt;=0),AND(ISNUMBER(R39),R39&gt;=0),AND(ISNUMBER(R40),R40&gt;=0)),CHOOSE($D$5,R38,R39,R40),NA()))</x:f>
        <x:v>0.96</x:v>
      </x:c>
    </x:row>
    <x:row r="38" ht="20" customHeight="1">
      <x:c r="A38" s="2"/>
      <x:c r="B38" s="2"/>
      <x:c r="C38" s="2" t="str">
        <x:v>Base</x:v>
      </x:c>
      <x:c r="D38" s="2"/>
      <x:c r="E38" s="2"/>
      <x:c r="F38" s="2"/>
      <x:c r="G38" s="2"/>
      <x:c r="H38" s="2"/>
      <x:c r="I38" s="2"/>
      <x:c r="J38" s="2"/>
      <x:c r="K38" s="2"/>
      <x:c r="L38" s="2"/>
      <x:c r="M38" s="33" t="n">
        <x:v>0.96</x:v>
      </x:c>
      <x:c r="N38" s="33" t="n">
        <x:v>0.96</x:v>
      </x:c>
      <x:c r="O38" s="33" t="n">
        <x:v>0.96</x:v>
      </x:c>
      <x:c r="P38" s="33" t="n">
        <x:v>0.96</x:v>
      </x:c>
      <x:c r="Q38" s="33" t="n">
        <x:v>0.96</x:v>
      </x:c>
      <x:c r="R38" s="33" t="n">
        <x:v>0.96</x:v>
      </x:c>
    </x:row>
    <x:row r="39" ht="20" customHeight="1">
      <x:c r="A39" s="2"/>
      <x:c r="B39" s="2"/>
      <x:c r="C39" s="2" t="str">
        <x:v>Upside</x:v>
      </x:c>
      <x:c r="D39" s="2"/>
      <x:c r="E39" s="2"/>
      <x:c r="F39" s="2"/>
      <x:c r="G39" s="2"/>
      <x:c r="H39" s="2"/>
      <x:c r="I39" s="2"/>
      <x:c r="J39" s="2"/>
      <x:c r="K39" s="2"/>
      <x:c r="L39" s="2"/>
      <x:c r="M39" s="33" t="n">
        <x:v>1.02</x:v>
      </x:c>
      <x:c r="N39" s="33" t="n">
        <x:v>1.02</x:v>
      </x:c>
      <x:c r="O39" s="33" t="n">
        <x:v>1.02</x:v>
      </x:c>
      <x:c r="P39" s="33" t="n">
        <x:v>1.02</x:v>
      </x:c>
      <x:c r="Q39" s="33" t="n">
        <x:v>1.02</x:v>
      </x:c>
      <x:c r="R39" s="33" t="n">
        <x:v>1.02</x:v>
      </x:c>
    </x:row>
    <x:row r="40" ht="20" customHeight="1">
      <x:c r="A40" s="2"/>
      <x:c r="B40" s="2"/>
      <x:c r="C40" s="2" t="str">
        <x:v>Downside</x:v>
      </x:c>
      <x:c r="D40" s="2"/>
      <x:c r="E40" s="2"/>
      <x:c r="F40" s="2"/>
      <x:c r="G40" s="2"/>
      <x:c r="H40" s="2"/>
      <x:c r="I40" s="2"/>
      <x:c r="J40" s="2"/>
      <x:c r="K40" s="2"/>
      <x:c r="L40" s="2"/>
      <x:c r="M40" s="33" t="n">
        <x:v>0.88</x:v>
      </x:c>
      <x:c r="N40" s="33" t="n">
        <x:v>0.88</x:v>
      </x:c>
      <x:c r="O40" s="33" t="n">
        <x:v>0.88</x:v>
      </x:c>
      <x:c r="P40" s="33" t="n">
        <x:v>0.88</x:v>
      </x:c>
      <x:c r="Q40" s="33" t="n">
        <x:v>0.88</x:v>
      </x:c>
      <x:c r="R40" s="33" t="n">
        <x:v>0.88</x:v>
      </x:c>
    </x:row>
    <x:row r="41" ht="20" customHeight="1">
      <x:c r="A41" s="2"/>
      <x:c r="B41" s="2"/>
      <x:c r="C41" s="2"/>
      <x:c r="D41" s="2"/>
      <x:c r="E41" s="2"/>
      <x:c r="F41" s="2"/>
      <x:c r="G41" s="2"/>
      <x:c r="H41" s="2"/>
      <x:c r="I41" s="2"/>
      <x:c r="J41" s="2"/>
      <x:c r="K41" s="2"/>
      <x:c r="L41" s="2"/>
      <x:c r="M41" s="2"/>
      <x:c r="N41" s="2"/>
      <x:c r="O41" s="2"/>
      <x:c r="P41" s="2"/>
      <x:c r="Q41" s="2"/>
      <x:c r="R41" s="2"/>
    </x:row>
    <x:row r="42" ht="20" customHeight="1">
      <x:c r="A42" s="2"/>
      <x:c r="B42" s="2"/>
      <x:c r="C42" s="32" t="str">
        <x:v>Wholesale price / budget</x:v>
      </x:c>
      <x:c r="D42" s="32" t="str">
        <x:v>Active</x:v>
      </x:c>
      <x:c r="E42" s="32"/>
      <x:c r="F42" s="32"/>
      <x:c r="G42" s="36" t="n">
        <x:f>'Operating Model'!G44/'Operating Model'!G10</x:f>
        <x:v>0.9860521528198909</x:v>
      </x:c>
      <x:c r="H42" s="36" t="n">
        <x:f>'Operating Model'!H44/'Operating Model'!H10</x:f>
        <x:v>0.9811818959354576</x:v>
      </x:c>
      <x:c r="I42" s="36" t="n">
        <x:f>'Operating Model'!I44/'Operating Model'!I10</x:f>
        <x:v>0.9762132558790593</x:v>
      </x:c>
      <x:c r="J42" s="36" t="n">
        <x:f>'Operating Model'!J44/'Operating Model'!J10</x:f>
        <x:v>0.9859239130434783</x:v>
      </x:c>
      <x:c r="K42" s="36" t="n">
        <x:f>'Operating Model'!K44/'Operating Model'!K10</x:f>
        <x:v>0.9908730680868839</x:v>
      </x:c>
      <x:c r="L42" s="36" t="n">
        <x:f>'Operating Model'!L44/'Operating Model'!L10</x:f>
        <x:v>0.9959209280303032</x:v>
      </x:c>
      <x:c r="M42" s="37" t="n">
        <x:f>IF(ISERROR($E$5),NA(),IF(CHOOSE($D$5,AND(ISNUMBER(M43),M43&gt;=0),AND(ISNUMBER(M44),M44&gt;=0),AND(ISNUMBER(M45),M45&gt;=0)),CHOOSE($D$5,M43,M44,M45),NA()))</x:f>
        <x:v>1.015</x:v>
      </x:c>
      <x:c r="N42" s="37" t="n">
        <x:f>IF(ISERROR($E$5),NA(),IF(CHOOSE($D$5,AND(ISNUMBER(N43),N43&gt;=0),AND(ISNUMBER(N44),N44&gt;=0),AND(ISNUMBER(N45),N45&gt;=0)),CHOOSE($D$5,N43,N44,N45),NA()))</x:f>
        <x:v>1.015</x:v>
      </x:c>
      <x:c r="O42" s="37" t="n">
        <x:f>IF(ISERROR($E$5),NA(),IF(CHOOSE($D$5,AND(ISNUMBER(O43),O43&gt;=0),AND(ISNUMBER(O44),O44&gt;=0),AND(ISNUMBER(O45),O45&gt;=0)),CHOOSE($D$5,O43,O44,O45),NA()))</x:f>
        <x:v>1.015</x:v>
      </x:c>
      <x:c r="P42" s="37" t="n">
        <x:f>IF(ISERROR($E$5),NA(),IF(CHOOSE($D$5,AND(ISNUMBER(P43),P43&gt;=0),AND(ISNUMBER(P44),P44&gt;=0),AND(ISNUMBER(P45),P45&gt;=0)),CHOOSE($D$5,P43,P44,P45),NA()))</x:f>
        <x:v>1.015</x:v>
      </x:c>
      <x:c r="Q42" s="37" t="n">
        <x:f>IF(ISERROR($E$5),NA(),IF(CHOOSE($D$5,AND(ISNUMBER(Q43),Q43&gt;=0),AND(ISNUMBER(Q44),Q44&gt;=0),AND(ISNUMBER(Q45),Q45&gt;=0)),CHOOSE($D$5,Q43,Q44,Q45),NA()))</x:f>
        <x:v>1.015</x:v>
      </x:c>
      <x:c r="R42" s="37" t="n">
        <x:f>IF(ISERROR($E$5),NA(),IF(CHOOSE($D$5,AND(ISNUMBER(R43),R43&gt;=0),AND(ISNUMBER(R44),R44&gt;=0),AND(ISNUMBER(R45),R45&gt;=0)),CHOOSE($D$5,R43,R44,R45),NA()))</x:f>
        <x:v>1.015</x:v>
      </x:c>
    </x:row>
    <x:row r="43" ht="20" customHeight="1">
      <x:c r="A43" s="2"/>
      <x:c r="B43" s="2"/>
      <x:c r="C43" s="2" t="str">
        <x:v>Base</x:v>
      </x:c>
      <x:c r="D43" s="2"/>
      <x:c r="E43" s="2"/>
      <x:c r="F43" s="2"/>
      <x:c r="G43" s="2"/>
      <x:c r="H43" s="2"/>
      <x:c r="I43" s="2"/>
      <x:c r="J43" s="2"/>
      <x:c r="K43" s="2"/>
      <x:c r="L43" s="2"/>
      <x:c r="M43" s="33" t="n">
        <x:v>1.015</x:v>
      </x:c>
      <x:c r="N43" s="33" t="n">
        <x:v>1.015</x:v>
      </x:c>
      <x:c r="O43" s="33" t="n">
        <x:v>1.015</x:v>
      </x:c>
      <x:c r="P43" s="33" t="n">
        <x:v>1.015</x:v>
      </x:c>
      <x:c r="Q43" s="33" t="n">
        <x:v>1.015</x:v>
      </x:c>
      <x:c r="R43" s="33" t="n">
        <x:v>1.015</x:v>
      </x:c>
    </x:row>
    <x:row r="44" ht="20" customHeight="1">
      <x:c r="A44" s="2"/>
      <x:c r="B44" s="2"/>
      <x:c r="C44" s="2" t="str">
        <x:v>Upside</x:v>
      </x:c>
      <x:c r="D44" s="2"/>
      <x:c r="E44" s="2"/>
      <x:c r="F44" s="2"/>
      <x:c r="G44" s="2"/>
      <x:c r="H44" s="2"/>
      <x:c r="I44" s="2"/>
      <x:c r="J44" s="2"/>
      <x:c r="K44" s="2"/>
      <x:c r="L44" s="2"/>
      <x:c r="M44" s="33" t="n">
        <x:v>1.03</x:v>
      </x:c>
      <x:c r="N44" s="33" t="n">
        <x:v>1.03</x:v>
      </x:c>
      <x:c r="O44" s="33" t="n">
        <x:v>1.03</x:v>
      </x:c>
      <x:c r="P44" s="33" t="n">
        <x:v>1.03</x:v>
      </x:c>
      <x:c r="Q44" s="33" t="n">
        <x:v>1.03</x:v>
      </x:c>
      <x:c r="R44" s="33" t="n">
        <x:v>1.03</x:v>
      </x:c>
    </x:row>
    <x:row r="45" ht="20" customHeight="1">
      <x:c r="A45" s="2"/>
      <x:c r="B45" s="2"/>
      <x:c r="C45" s="2" t="str">
        <x:v>Downside</x:v>
      </x:c>
      <x:c r="D45" s="2"/>
      <x:c r="E45" s="2"/>
      <x:c r="F45" s="2"/>
      <x:c r="G45" s="2"/>
      <x:c r="H45" s="2"/>
      <x:c r="I45" s="2"/>
      <x:c r="J45" s="2"/>
      <x:c r="K45" s="2"/>
      <x:c r="L45" s="2"/>
      <x:c r="M45" s="33" t="n">
        <x:v>0.99</x:v>
      </x:c>
      <x:c r="N45" s="33" t="n">
        <x:v>0.99</x:v>
      </x:c>
      <x:c r="O45" s="33" t="n">
        <x:v>0.99</x:v>
      </x:c>
      <x:c r="P45" s="33" t="n">
        <x:v>0.99</x:v>
      </x:c>
      <x:c r="Q45" s="33" t="n">
        <x:v>0.99</x:v>
      </x:c>
      <x:c r="R45" s="33" t="n">
        <x:v>0.99</x:v>
      </x:c>
    </x:row>
    <x:row r="46" ht="20" customHeight="1">
      <x:c r="A46" s="2"/>
      <x:c r="B46" s="2"/>
      <x:c r="C46" s="2"/>
      <x:c r="D46" s="2"/>
      <x:c r="E46" s="2"/>
      <x:c r="F46" s="2"/>
      <x:c r="G46" s="2"/>
      <x:c r="H46" s="2"/>
      <x:c r="I46" s="2"/>
      <x:c r="J46" s="2"/>
      <x:c r="K46" s="2"/>
      <x:c r="L46" s="2"/>
      <x:c r="M46" s="2"/>
      <x:c r="N46" s="2"/>
      <x:c r="O46" s="2"/>
      <x:c r="P46" s="2"/>
      <x:c r="Q46" s="2"/>
      <x:c r="R46" s="2"/>
    </x:row>
    <x:row r="47" ht="20" customHeight="1">
      <x:c r="A47" s="2"/>
      <x:c r="B47" s="2"/>
      <x:c r="C47" s="32" t="str">
        <x:v>Wholesale unit cost / budget</x:v>
      </x:c>
      <x:c r="D47" s="32" t="str">
        <x:v>Active</x:v>
      </x:c>
      <x:c r="E47" s="32"/>
      <x:c r="F47" s="32"/>
      <x:c r="G47" s="36" t="n">
        <x:f>'Operating Model'!G45/'Operating Model'!G11</x:f>
        <x:v>1.0093599151000607</x:v>
      </x:c>
      <x:c r="H47" s="36" t="n">
        <x:f>'Operating Model'!H45/'Operating Model'!H11</x:f>
        <x:v>1.014343035130719</x:v>
      </x:c>
      <x:c r="I47" s="36" t="n">
        <x:f>'Operating Model'!I45/'Operating Model'!I11</x:f>
        <x:v>1.0291035834266518</x:v>
      </x:c>
      <x:c r="J47" s="36" t="n">
        <x:f>'Operating Model'!J45/'Operating Model'!J11</x:f>
        <x:v>1.0438264492753624</x:v>
      </x:c>
      <x:c r="K47" s="36" t="n">
        <x:f>'Operating Model'!K45/'Operating Model'!K11</x:f>
        <x:v>1.0488720969089391</x:v>
      </x:c>
      <x:c r="L47" s="36" t="n">
        <x:f>'Operating Model'!L45/'Operating Model'!L11</x:f>
        <x:v>1.0391279198232324</x:v>
      </x:c>
      <x:c r="M47" s="37" t="n">
        <x:f>IF(ISERROR($E$5),NA(),IF(CHOOSE($D$5,AND(ISNUMBER(M48),M48&gt;=0),AND(ISNUMBER(M49),M49&gt;=0),AND(ISNUMBER(M50),M50&gt;=0)),CHOOSE($D$5,M48,M49,M50),NA()))</x:f>
        <x:v>1.03</x:v>
      </x:c>
      <x:c r="N47" s="37" t="n">
        <x:f>IF(ISERROR($E$5),NA(),IF(CHOOSE($D$5,AND(ISNUMBER(N48),N48&gt;=0),AND(ISNUMBER(N49),N49&gt;=0),AND(ISNUMBER(N50),N50&gt;=0)),CHOOSE($D$5,N48,N49,N50),NA()))</x:f>
        <x:v>1.03</x:v>
      </x:c>
      <x:c r="O47" s="37" t="n">
        <x:f>IF(ISERROR($E$5),NA(),IF(CHOOSE($D$5,AND(ISNUMBER(O48),O48&gt;=0),AND(ISNUMBER(O49),O49&gt;=0),AND(ISNUMBER(O50),O50&gt;=0)),CHOOSE($D$5,O48,O49,O50),NA()))</x:f>
        <x:v>1.03</x:v>
      </x:c>
      <x:c r="P47" s="37" t="n">
        <x:f>IF(ISERROR($E$5),NA(),IF(CHOOSE($D$5,AND(ISNUMBER(P48),P48&gt;=0),AND(ISNUMBER(P49),P49&gt;=0),AND(ISNUMBER(P50),P50&gt;=0)),CHOOSE($D$5,P48,P49,P50),NA()))</x:f>
        <x:v>1.03</x:v>
      </x:c>
      <x:c r="Q47" s="37" t="n">
        <x:f>IF(ISERROR($E$5),NA(),IF(CHOOSE($D$5,AND(ISNUMBER(Q48),Q48&gt;=0),AND(ISNUMBER(Q49),Q49&gt;=0),AND(ISNUMBER(Q50),Q50&gt;=0)),CHOOSE($D$5,Q48,Q49,Q50),NA()))</x:f>
        <x:v>1.03</x:v>
      </x:c>
      <x:c r="R47" s="37" t="n">
        <x:f>IF(ISERROR($E$5),NA(),IF(CHOOSE($D$5,AND(ISNUMBER(R48),R48&gt;=0),AND(ISNUMBER(R49),R49&gt;=0),AND(ISNUMBER(R50),R50&gt;=0)),CHOOSE($D$5,R48,R49,R50),NA()))</x:f>
        <x:v>1.03</x:v>
      </x:c>
    </x:row>
    <x:row r="48" ht="20" customHeight="1">
      <x:c r="A48" s="2"/>
      <x:c r="B48" s="2"/>
      <x:c r="C48" s="2" t="str">
        <x:v>Base</x:v>
      </x:c>
      <x:c r="D48" s="2"/>
      <x:c r="E48" s="2"/>
      <x:c r="F48" s="2"/>
      <x:c r="G48" s="2"/>
      <x:c r="H48" s="2"/>
      <x:c r="I48" s="2"/>
      <x:c r="J48" s="2"/>
      <x:c r="K48" s="2"/>
      <x:c r="L48" s="2"/>
      <x:c r="M48" s="33" t="n">
        <x:v>1.03</x:v>
      </x:c>
      <x:c r="N48" s="33" t="n">
        <x:v>1.03</x:v>
      </x:c>
      <x:c r="O48" s="33" t="n">
        <x:v>1.03</x:v>
      </x:c>
      <x:c r="P48" s="33" t="n">
        <x:v>1.03</x:v>
      </x:c>
      <x:c r="Q48" s="33" t="n">
        <x:v>1.03</x:v>
      </x:c>
      <x:c r="R48" s="33" t="n">
        <x:v>1.03</x:v>
      </x:c>
    </x:row>
    <x:row r="49" ht="20" customHeight="1">
      <x:c r="A49" s="2"/>
      <x:c r="B49" s="2"/>
      <x:c r="C49" s="2" t="str">
        <x:v>Upside</x:v>
      </x:c>
      <x:c r="D49" s="2"/>
      <x:c r="E49" s="2"/>
      <x:c r="F49" s="2"/>
      <x:c r="G49" s="2"/>
      <x:c r="H49" s="2"/>
      <x:c r="I49" s="2"/>
      <x:c r="J49" s="2"/>
      <x:c r="K49" s="2"/>
      <x:c r="L49" s="2"/>
      <x:c r="M49" s="33" t="n">
        <x:v>1.01</x:v>
      </x:c>
      <x:c r="N49" s="33" t="n">
        <x:v>1.01</x:v>
      </x:c>
      <x:c r="O49" s="33" t="n">
        <x:v>1.01</x:v>
      </x:c>
      <x:c r="P49" s="33" t="n">
        <x:v>1.01</x:v>
      </x:c>
      <x:c r="Q49" s="33" t="n">
        <x:v>1.01</x:v>
      </x:c>
      <x:c r="R49" s="33" t="n">
        <x:v>1.01</x:v>
      </x:c>
    </x:row>
    <x:row r="50" ht="20" customHeight="1">
      <x:c r="A50" s="2"/>
      <x:c r="B50" s="2"/>
      <x:c r="C50" s="2" t="str">
        <x:v>Downside</x:v>
      </x:c>
      <x:c r="D50" s="2"/>
      <x:c r="E50" s="2"/>
      <x:c r="F50" s="2"/>
      <x:c r="G50" s="2"/>
      <x:c r="H50" s="2"/>
      <x:c r="I50" s="2"/>
      <x:c r="J50" s="2"/>
      <x:c r="K50" s="2"/>
      <x:c r="L50" s="2"/>
      <x:c r="M50" s="33" t="n">
        <x:v>1.07</x:v>
      </x:c>
      <x:c r="N50" s="33" t="n">
        <x:v>1.07</x:v>
      </x:c>
      <x:c r="O50" s="33" t="n">
        <x:v>1.07</x:v>
      </x:c>
      <x:c r="P50" s="33" t="n">
        <x:v>1.07</x:v>
      </x:c>
      <x:c r="Q50" s="33" t="n">
        <x:v>1.07</x:v>
      </x:c>
      <x:c r="R50" s="33" t="n">
        <x:v>1.07</x:v>
      </x:c>
    </x:row>
    <x:row r="51" ht="20" customHeight="1">
      <x:c r="A51" s="2"/>
      <x:c r="B51" s="2"/>
      <x:c r="C51" s="2"/>
      <x:c r="D51" s="2"/>
      <x:c r="E51" s="2"/>
      <x:c r="F51" s="2"/>
      <x:c r="G51" s="2"/>
      <x:c r="H51" s="2"/>
      <x:c r="I51" s="2"/>
      <x:c r="J51" s="2"/>
      <x:c r="K51" s="2"/>
      <x:c r="L51" s="2"/>
      <x:c r="M51" s="2"/>
      <x:c r="N51" s="2"/>
      <x:c r="O51" s="2"/>
      <x:c r="P51" s="2"/>
      <x:c r="Q51" s="2"/>
      <x:c r="R51" s="2"/>
    </x:row>
    <x:row r="52" ht="20" customHeight="1">
      <x:c r="A52" s="2"/>
      <x:c r="B52" s="2"/>
      <x:c r="C52" s="32" t="str">
        <x:v>Online volume / budget</x:v>
      </x:c>
      <x:c r="D52" s="32" t="str">
        <x:v>Active</x:v>
      </x:c>
      <x:c r="E52" s="32"/>
      <x:c r="F52" s="32"/>
      <x:c r="G52" s="36" t="n">
        <x:f>'Operating Model'!G50/'Operating Model'!G16</x:f>
        <x:v>1.06015625</x:v>
      </x:c>
      <x:c r="H52" s="36" t="n">
        <x:f>'Operating Model'!H50/'Operating Model'!H16</x:f>
        <x:v>1.0801470588235293</x:v>
      </x:c>
      <x:c r="I52" s="36" t="n">
        <x:f>'Operating Model'!I50/'Operating Model'!I16</x:f>
        <x:v>1.1</x:v>
      </x:c>
      <x:c r="J52" s="36" t="n">
        <x:f>'Operating Model'!J50/'Operating Model'!J16</x:f>
        <x:v>1.14</x:v>
      </x:c>
      <x:c r="K52" s="36" t="n">
        <x:f>'Operating Model'!K50/'Operating Model'!K16</x:f>
        <x:v>1.13</x:v>
      </x:c>
      <x:c r="L52" s="36" t="n">
        <x:f>'Operating Model'!L50/'Operating Model'!L16</x:f>
        <x:v>1.1202380952380953</x:v>
      </x:c>
      <x:c r="M52" s="37" t="n">
        <x:f>IF(ISERROR($E$5),NA(),IF(CHOOSE($D$5,AND(ISNUMBER(M53),M53&gt;=0),AND(ISNUMBER(M54),M54&gt;=0),AND(ISNUMBER(M55),M55&gt;=0)),CHOOSE($D$5,M53,M54,M55),NA()))</x:f>
        <x:v>1.08</x:v>
      </x:c>
      <x:c r="N52" s="37" t="n">
        <x:f>IF(ISERROR($E$5),NA(),IF(CHOOSE($D$5,AND(ISNUMBER(N53),N53&gt;=0),AND(ISNUMBER(N54),N54&gt;=0),AND(ISNUMBER(N55),N55&gt;=0)),CHOOSE($D$5,N53,N54,N55),NA()))</x:f>
        <x:v>1.08</x:v>
      </x:c>
      <x:c r="O52" s="37" t="n">
        <x:f>IF(ISERROR($E$5),NA(),IF(CHOOSE($D$5,AND(ISNUMBER(O53),O53&gt;=0),AND(ISNUMBER(O54),O54&gt;=0),AND(ISNUMBER(O55),O55&gt;=0)),CHOOSE($D$5,O53,O54,O55),NA()))</x:f>
        <x:v>1.08</x:v>
      </x:c>
      <x:c r="P52" s="37" t="n">
        <x:f>IF(ISERROR($E$5),NA(),IF(CHOOSE($D$5,AND(ISNUMBER(P53),P53&gt;=0),AND(ISNUMBER(P54),P54&gt;=0),AND(ISNUMBER(P55),P55&gt;=0)),CHOOSE($D$5,P53,P54,P55),NA()))</x:f>
        <x:v>1.08</x:v>
      </x:c>
      <x:c r="Q52" s="37" t="n">
        <x:f>IF(ISERROR($E$5),NA(),IF(CHOOSE($D$5,AND(ISNUMBER(Q53),Q53&gt;=0),AND(ISNUMBER(Q54),Q54&gt;=0),AND(ISNUMBER(Q55),Q55&gt;=0)),CHOOSE($D$5,Q53,Q54,Q55),NA()))</x:f>
        <x:v>1.08</x:v>
      </x:c>
      <x:c r="R52" s="37" t="n">
        <x:f>IF(ISERROR($E$5),NA(),IF(CHOOSE($D$5,AND(ISNUMBER(R53),R53&gt;=0),AND(ISNUMBER(R54),R54&gt;=0),AND(ISNUMBER(R55),R55&gt;=0)),CHOOSE($D$5,R53,R54,R55),NA()))</x:f>
        <x:v>1.08</x:v>
      </x:c>
    </x:row>
    <x:row r="53" ht="20" customHeight="1">
      <x:c r="A53" s="2"/>
      <x:c r="B53" s="2"/>
      <x:c r="C53" s="2" t="str">
        <x:v>Base</x:v>
      </x:c>
      <x:c r="D53" s="2"/>
      <x:c r="E53" s="2"/>
      <x:c r="F53" s="2"/>
      <x:c r="G53" s="2"/>
      <x:c r="H53" s="2"/>
      <x:c r="I53" s="2"/>
      <x:c r="J53" s="2"/>
      <x:c r="K53" s="2"/>
      <x:c r="L53" s="2"/>
      <x:c r="M53" s="33" t="n">
        <x:v>1.08</x:v>
      </x:c>
      <x:c r="N53" s="33" t="n">
        <x:v>1.08</x:v>
      </x:c>
      <x:c r="O53" s="33" t="n">
        <x:v>1.08</x:v>
      </x:c>
      <x:c r="P53" s="33" t="n">
        <x:v>1.08</x:v>
      </x:c>
      <x:c r="Q53" s="33" t="n">
        <x:v>1.08</x:v>
      </x:c>
      <x:c r="R53" s="33" t="n">
        <x:v>1.08</x:v>
      </x:c>
    </x:row>
    <x:row r="54" ht="20" customHeight="1">
      <x:c r="A54" s="2"/>
      <x:c r="B54" s="2"/>
      <x:c r="C54" s="2" t="str">
        <x:v>Upside</x:v>
      </x:c>
      <x:c r="D54" s="2"/>
      <x:c r="E54" s="2"/>
      <x:c r="F54" s="2"/>
      <x:c r="G54" s="2"/>
      <x:c r="H54" s="2"/>
      <x:c r="I54" s="2"/>
      <x:c r="J54" s="2"/>
      <x:c r="K54" s="2"/>
      <x:c r="L54" s="2"/>
      <x:c r="M54" s="33" t="n">
        <x:v>1.16</x:v>
      </x:c>
      <x:c r="N54" s="33" t="n">
        <x:v>1.16</x:v>
      </x:c>
      <x:c r="O54" s="33" t="n">
        <x:v>1.16</x:v>
      </x:c>
      <x:c r="P54" s="33" t="n">
        <x:v>1.16</x:v>
      </x:c>
      <x:c r="Q54" s="33" t="n">
        <x:v>1.16</x:v>
      </x:c>
      <x:c r="R54" s="33" t="n">
        <x:v>1.16</x:v>
      </x:c>
    </x:row>
    <x:row r="55" ht="20" customHeight="1">
      <x:c r="A55" s="2"/>
      <x:c r="B55" s="2"/>
      <x:c r="C55" s="2" t="str">
        <x:v>Downside</x:v>
      </x:c>
      <x:c r="D55" s="2"/>
      <x:c r="E55" s="2"/>
      <x:c r="F55" s="2"/>
      <x:c r="G55" s="2"/>
      <x:c r="H55" s="2"/>
      <x:c r="I55" s="2"/>
      <x:c r="J55" s="2"/>
      <x:c r="K55" s="2"/>
      <x:c r="L55" s="2"/>
      <x:c r="M55" s="33" t="n">
        <x:v>0.96</x:v>
      </x:c>
      <x:c r="N55" s="33" t="n">
        <x:v>0.96</x:v>
      </x:c>
      <x:c r="O55" s="33" t="n">
        <x:v>0.96</x:v>
      </x:c>
      <x:c r="P55" s="33" t="n">
        <x:v>0.96</x:v>
      </x:c>
      <x:c r="Q55" s="33" t="n">
        <x:v>0.96</x:v>
      </x:c>
      <x:c r="R55" s="33" t="n">
        <x:v>0.96</x:v>
      </x:c>
    </x:row>
    <x:row r="56" ht="20" customHeight="1">
      <x:c r="A56" s="2"/>
      <x:c r="B56" s="2"/>
      <x:c r="C56" s="2"/>
      <x:c r="D56" s="2"/>
      <x:c r="E56" s="2"/>
      <x:c r="F56" s="2"/>
      <x:c r="G56" s="2"/>
      <x:c r="H56" s="2"/>
      <x:c r="I56" s="2"/>
      <x:c r="J56" s="2"/>
      <x:c r="K56" s="2"/>
      <x:c r="L56" s="2"/>
      <x:c r="M56" s="2"/>
      <x:c r="N56" s="2"/>
      <x:c r="O56" s="2"/>
      <x:c r="P56" s="2"/>
      <x:c r="Q56" s="2"/>
      <x:c r="R56" s="2"/>
    </x:row>
    <x:row r="57" ht="20" customHeight="1">
      <x:c r="A57" s="2"/>
      <x:c r="B57" s="2"/>
      <x:c r="C57" s="32" t="str">
        <x:v>Online price / budget</x:v>
      </x:c>
      <x:c r="D57" s="32" t="str">
        <x:v>Active</x:v>
      </x:c>
      <x:c r="E57" s="32"/>
      <x:c r="F57" s="32"/>
      <x:c r="G57" s="36" t="n">
        <x:f>'Operating Model'!G51/'Operating Model'!G17</x:f>
        <x:v>0.9801497286795738</x:v>
      </x:c>
      <x:c r="H57" s="36" t="n">
        <x:f>'Operating Model'!H51/'Operating Model'!H17</x:f>
        <x:v>0.9752175258369948</x:v>
      </x:c>
      <x:c r="I57" s="36" t="n">
        <x:f>'Operating Model'!I51/'Operating Model'!I17</x:f>
        <x:v>0.9702743946643467</x:v>
      </x:c>
      <x:c r="J57" s="36" t="n">
        <x:f>'Operating Model'!J51/'Operating Model'!J17</x:f>
        <x:v>0.9602978801169592</x:v>
      </x:c>
      <x:c r="K57" s="36" t="n">
        <x:f>'Operating Model'!K51/'Operating Model'!K17</x:f>
        <x:v>0.9652295353982301</x:v>
      </x:c>
      <x:c r="L57" s="36" t="n">
        <x:f>'Operating Model'!L51/'Operating Model'!L17</x:f>
        <x:v>0.9703476314687792</x:v>
      </x:c>
      <x:c r="M57" s="37" t="n">
        <x:f>IF(ISERROR($E$5),NA(),IF(CHOOSE($D$5,AND(ISNUMBER(M58),M58&gt;=0),AND(ISNUMBER(M59),M59&gt;=0),AND(ISNUMBER(M60),M60&gt;=0)),CHOOSE($D$5,M58,M59,M60),NA()))</x:f>
        <x:v>0.99</x:v>
      </x:c>
      <x:c r="N57" s="37" t="n">
        <x:f>IF(ISERROR($E$5),NA(),IF(CHOOSE($D$5,AND(ISNUMBER(N58),N58&gt;=0),AND(ISNUMBER(N59),N59&gt;=0),AND(ISNUMBER(N60),N60&gt;=0)),CHOOSE($D$5,N58,N59,N60),NA()))</x:f>
        <x:v>0.99</x:v>
      </x:c>
      <x:c r="O57" s="37" t="n">
        <x:f>IF(ISERROR($E$5),NA(),IF(CHOOSE($D$5,AND(ISNUMBER(O58),O58&gt;=0),AND(ISNUMBER(O59),O59&gt;=0),AND(ISNUMBER(O60),O60&gt;=0)),CHOOSE($D$5,O58,O59,O60),NA()))</x:f>
        <x:v>0.99</x:v>
      </x:c>
      <x:c r="P57" s="37" t="n">
        <x:f>IF(ISERROR($E$5),NA(),IF(CHOOSE($D$5,AND(ISNUMBER(P58),P58&gt;=0),AND(ISNUMBER(P59),P59&gt;=0),AND(ISNUMBER(P60),P60&gt;=0)),CHOOSE($D$5,P58,P59,P60),NA()))</x:f>
        <x:v>0.99</x:v>
      </x:c>
      <x:c r="Q57" s="37" t="n">
        <x:f>IF(ISERROR($E$5),NA(),IF(CHOOSE($D$5,AND(ISNUMBER(Q58),Q58&gt;=0),AND(ISNUMBER(Q59),Q59&gt;=0),AND(ISNUMBER(Q60),Q60&gt;=0)),CHOOSE($D$5,Q58,Q59,Q60),NA()))</x:f>
        <x:v>0.99</x:v>
      </x:c>
      <x:c r="R57" s="37" t="n">
        <x:f>IF(ISERROR($E$5),NA(),IF(CHOOSE($D$5,AND(ISNUMBER(R58),R58&gt;=0),AND(ISNUMBER(R59),R59&gt;=0),AND(ISNUMBER(R60),R60&gt;=0)),CHOOSE($D$5,R58,R59,R60),NA()))</x:f>
        <x:v>0.99</x:v>
      </x:c>
    </x:row>
    <x:row r="58" ht="20" customHeight="1">
      <x:c r="A58" s="2"/>
      <x:c r="B58" s="2"/>
      <x:c r="C58" s="2" t="str">
        <x:v>Base</x:v>
      </x:c>
      <x:c r="D58" s="2"/>
      <x:c r="E58" s="2"/>
      <x:c r="F58" s="2"/>
      <x:c r="G58" s="2"/>
      <x:c r="H58" s="2"/>
      <x:c r="I58" s="2"/>
      <x:c r="J58" s="2"/>
      <x:c r="K58" s="2"/>
      <x:c r="L58" s="2"/>
      <x:c r="M58" s="33" t="n">
        <x:v>0.99</x:v>
      </x:c>
      <x:c r="N58" s="33" t="n">
        <x:v>0.99</x:v>
      </x:c>
      <x:c r="O58" s="33" t="n">
        <x:v>0.99</x:v>
      </x:c>
      <x:c r="P58" s="33" t="n">
        <x:v>0.99</x:v>
      </x:c>
      <x:c r="Q58" s="33" t="n">
        <x:v>0.99</x:v>
      </x:c>
      <x:c r="R58" s="33" t="n">
        <x:v>0.99</x:v>
      </x:c>
    </x:row>
    <x:row r="59" ht="20" customHeight="1">
      <x:c r="A59" s="2"/>
      <x:c r="B59" s="2"/>
      <x:c r="C59" s="2" t="str">
        <x:v>Upside</x:v>
      </x:c>
      <x:c r="D59" s="2"/>
      <x:c r="E59" s="2"/>
      <x:c r="F59" s="2"/>
      <x:c r="G59" s="2"/>
      <x:c r="H59" s="2"/>
      <x:c r="I59" s="2"/>
      <x:c r="J59" s="2"/>
      <x:c r="K59" s="2"/>
      <x:c r="L59" s="2"/>
      <x:c r="M59" s="33" t="n">
        <x:v>1.01</x:v>
      </x:c>
      <x:c r="N59" s="33" t="n">
        <x:v>1.01</x:v>
      </x:c>
      <x:c r="O59" s="33" t="n">
        <x:v>1.01</x:v>
      </x:c>
      <x:c r="P59" s="33" t="n">
        <x:v>1.01</x:v>
      </x:c>
      <x:c r="Q59" s="33" t="n">
        <x:v>1.01</x:v>
      </x:c>
      <x:c r="R59" s="33" t="n">
        <x:v>1.01</x:v>
      </x:c>
    </x:row>
    <x:row r="60" ht="20" customHeight="1">
      <x:c r="A60" s="2"/>
      <x:c r="B60" s="2"/>
      <x:c r="C60" s="2" t="str">
        <x:v>Downside</x:v>
      </x:c>
      <x:c r="D60" s="2"/>
      <x:c r="E60" s="2"/>
      <x:c r="F60" s="2"/>
      <x:c r="G60" s="2"/>
      <x:c r="H60" s="2"/>
      <x:c r="I60" s="2"/>
      <x:c r="J60" s="2"/>
      <x:c r="K60" s="2"/>
      <x:c r="L60" s="2"/>
      <x:c r="M60" s="33" t="n">
        <x:v>0.97</x:v>
      </x:c>
      <x:c r="N60" s="33" t="n">
        <x:v>0.97</x:v>
      </x:c>
      <x:c r="O60" s="33" t="n">
        <x:v>0.97</x:v>
      </x:c>
      <x:c r="P60" s="33" t="n">
        <x:v>0.97</x:v>
      </x:c>
      <x:c r="Q60" s="33" t="n">
        <x:v>0.97</x:v>
      </x:c>
      <x:c r="R60" s="33" t="n">
        <x:v>0.97</x:v>
      </x:c>
    </x:row>
    <x:row r="61" ht="20" customHeight="1">
      <x:c r="A61" s="2"/>
      <x:c r="B61" s="2"/>
      <x:c r="C61" s="2"/>
      <x:c r="D61" s="2"/>
      <x:c r="E61" s="2"/>
      <x:c r="F61" s="2"/>
      <x:c r="G61" s="2"/>
      <x:c r="H61" s="2"/>
      <x:c r="I61" s="2"/>
      <x:c r="J61" s="2"/>
      <x:c r="K61" s="2"/>
      <x:c r="L61" s="2"/>
      <x:c r="M61" s="2"/>
      <x:c r="N61" s="2"/>
      <x:c r="O61" s="2"/>
      <x:c r="P61" s="2"/>
      <x:c r="Q61" s="2"/>
      <x:c r="R61" s="2"/>
    </x:row>
    <x:row r="62" ht="20" customHeight="1">
      <x:c r="A62" s="2"/>
      <x:c r="B62" s="2"/>
      <x:c r="C62" s="32" t="str">
        <x:v>Online unit cost / budget</x:v>
      </x:c>
      <x:c r="D62" s="32" t="str">
        <x:v>Active</x:v>
      </x:c>
      <x:c r="E62" s="32"/>
      <x:c r="F62" s="32"/>
      <x:c r="G62" s="36" t="n">
        <x:f>'Operating Model'!G52/'Operating Model'!G18</x:f>
        <x:v>0.997949981577008</x:v>
      </x:c>
      <x:c r="H62" s="36" t="n">
        <x:f>'Operating Model'!H52/'Operating Model'!H18</x:f>
        <x:v>1.007775697753574</x:v>
      </x:c>
      <x:c r="I62" s="36" t="n">
        <x:f>'Operating Model'!I52/'Operating Model'!I18</x:f>
        <x:v>1.0127392344497608</x:v>
      </x:c>
      <x:c r="J62" s="36" t="n">
        <x:f>'Operating Model'!J52/'Operating Model'!J18</x:f>
        <x:v>1.0274486019736842</x:v>
      </x:c>
      <x:c r="K62" s="36" t="n">
        <x:f>'Operating Model'!K52/'Operating Model'!K18</x:f>
        <x:v>1.0225280005530974</x:v>
      </x:c>
      <x:c r="L62" s="36" t="n">
        <x:f>'Operating Model'!L52/'Operating Model'!L18</x:f>
        <x:v>1.0177444208289055</x:v>
      </x:c>
      <x:c r="M62" s="37" t="n">
        <x:f>IF(ISERROR($E$5),NA(),IF(CHOOSE($D$5,AND(ISNUMBER(M63),M63&gt;=0),AND(ISNUMBER(M64),M64&gt;=0),AND(ISNUMBER(M65),M65&gt;=0)),CHOOSE($D$5,M63,M64,M65),NA()))</x:f>
        <x:v>1.02</x:v>
      </x:c>
      <x:c r="N62" s="37" t="n">
        <x:f>IF(ISERROR($E$5),NA(),IF(CHOOSE($D$5,AND(ISNUMBER(N63),N63&gt;=0),AND(ISNUMBER(N64),N64&gt;=0),AND(ISNUMBER(N65),N65&gt;=0)),CHOOSE($D$5,N63,N64,N65),NA()))</x:f>
        <x:v>1.02</x:v>
      </x:c>
      <x:c r="O62" s="37" t="n">
        <x:f>IF(ISERROR($E$5),NA(),IF(CHOOSE($D$5,AND(ISNUMBER(O63),O63&gt;=0),AND(ISNUMBER(O64),O64&gt;=0),AND(ISNUMBER(O65),O65&gt;=0)),CHOOSE($D$5,O63,O64,O65),NA()))</x:f>
        <x:v>1.02</x:v>
      </x:c>
      <x:c r="P62" s="37" t="n">
        <x:f>IF(ISERROR($E$5),NA(),IF(CHOOSE($D$5,AND(ISNUMBER(P63),P63&gt;=0),AND(ISNUMBER(P64),P64&gt;=0),AND(ISNUMBER(P65),P65&gt;=0)),CHOOSE($D$5,P63,P64,P65),NA()))</x:f>
        <x:v>1.02</x:v>
      </x:c>
      <x:c r="Q62" s="37" t="n">
        <x:f>IF(ISERROR($E$5),NA(),IF(CHOOSE($D$5,AND(ISNUMBER(Q63),Q63&gt;=0),AND(ISNUMBER(Q64),Q64&gt;=0),AND(ISNUMBER(Q65),Q65&gt;=0)),CHOOSE($D$5,Q63,Q64,Q65),NA()))</x:f>
        <x:v>1.02</x:v>
      </x:c>
      <x:c r="R62" s="37" t="n">
        <x:f>IF(ISERROR($E$5),NA(),IF(CHOOSE($D$5,AND(ISNUMBER(R63),R63&gt;=0),AND(ISNUMBER(R64),R64&gt;=0),AND(ISNUMBER(R65),R65&gt;=0)),CHOOSE($D$5,R63,R64,R65),NA()))</x:f>
        <x:v>1.02</x:v>
      </x:c>
    </x:row>
    <x:row r="63" ht="20" customHeight="1">
      <x:c r="A63" s="2"/>
      <x:c r="B63" s="2"/>
      <x:c r="C63" s="2" t="str">
        <x:v>Base</x:v>
      </x:c>
      <x:c r="D63" s="2"/>
      <x:c r="E63" s="2"/>
      <x:c r="F63" s="2"/>
      <x:c r="G63" s="2"/>
      <x:c r="H63" s="2"/>
      <x:c r="I63" s="2"/>
      <x:c r="J63" s="2"/>
      <x:c r="K63" s="2"/>
      <x:c r="L63" s="2"/>
      <x:c r="M63" s="33" t="n">
        <x:v>1.02</x:v>
      </x:c>
      <x:c r="N63" s="33" t="n">
        <x:v>1.02</x:v>
      </x:c>
      <x:c r="O63" s="33" t="n">
        <x:v>1.02</x:v>
      </x:c>
      <x:c r="P63" s="33" t="n">
        <x:v>1.02</x:v>
      </x:c>
      <x:c r="Q63" s="33" t="n">
        <x:v>1.02</x:v>
      </x:c>
      <x:c r="R63" s="33" t="n">
        <x:v>1.02</x:v>
      </x:c>
    </x:row>
    <x:row r="64" ht="20" customHeight="1">
      <x:c r="A64" s="2"/>
      <x:c r="B64" s="2"/>
      <x:c r="C64" s="2" t="str">
        <x:v>Upside</x:v>
      </x:c>
      <x:c r="D64" s="2"/>
      <x:c r="E64" s="2"/>
      <x:c r="F64" s="2"/>
      <x:c r="G64" s="2"/>
      <x:c r="H64" s="2"/>
      <x:c r="I64" s="2"/>
      <x:c r="J64" s="2"/>
      <x:c r="K64" s="2"/>
      <x:c r="L64" s="2"/>
      <x:c r="M64" s="33" t="n">
        <x:v>1</x:v>
      </x:c>
      <x:c r="N64" s="33" t="n">
        <x:v>1</x:v>
      </x:c>
      <x:c r="O64" s="33" t="n">
        <x:v>1</x:v>
      </x:c>
      <x:c r="P64" s="33" t="n">
        <x:v>1</x:v>
      </x:c>
      <x:c r="Q64" s="33" t="n">
        <x:v>1</x:v>
      </x:c>
      <x:c r="R64" s="33" t="n">
        <x:v>1</x:v>
      </x:c>
    </x:row>
    <x:row r="65" ht="20" customHeight="1">
      <x:c r="A65" s="2"/>
      <x:c r="B65" s="2"/>
      <x:c r="C65" s="2" t="str">
        <x:v>Downside</x:v>
      </x:c>
      <x:c r="D65" s="2"/>
      <x:c r="E65" s="2"/>
      <x:c r="F65" s="2"/>
      <x:c r="G65" s="2"/>
      <x:c r="H65" s="2"/>
      <x:c r="I65" s="2"/>
      <x:c r="J65" s="2"/>
      <x:c r="K65" s="2"/>
      <x:c r="L65" s="2"/>
      <x:c r="M65" s="33" t="n">
        <x:v>1.05</x:v>
      </x:c>
      <x:c r="N65" s="33" t="n">
        <x:v>1.05</x:v>
      </x:c>
      <x:c r="O65" s="33" t="n">
        <x:v>1.05</x:v>
      </x:c>
      <x:c r="P65" s="33" t="n">
        <x:v>1.05</x:v>
      </x:c>
      <x:c r="Q65" s="33" t="n">
        <x:v>1.05</x:v>
      </x:c>
      <x:c r="R65" s="33" t="n">
        <x:v>1.05</x:v>
      </x:c>
    </x:row>
    <x:row r="66" ht="20" customHeight="1">
      <x:c r="A66" s="2"/>
      <x:c r="B66" s="2"/>
      <x:c r="C66" s="2"/>
      <x:c r="D66" s="2"/>
      <x:c r="E66" s="2"/>
      <x:c r="F66" s="2"/>
      <x:c r="G66" s="2"/>
      <x:c r="H66" s="2"/>
      <x:c r="I66" s="2"/>
      <x:c r="J66" s="2"/>
      <x:c r="K66" s="2"/>
      <x:c r="L66" s="2"/>
      <x:c r="M66" s="2"/>
      <x:c r="N66" s="2"/>
      <x:c r="O66" s="2"/>
      <x:c r="P66" s="2"/>
      <x:c r="Q66" s="2"/>
      <x:c r="R66" s="2"/>
    </x:row>
    <x:row r="67" ht="20" customHeight="1">
      <x:c r="A67" s="2"/>
      <x:c r="B67" s="2"/>
      <x:c r="C67" s="32" t="str">
        <x:v>Marketing / online revenue</x:v>
      </x:c>
      <x:c r="D67" s="32" t="str">
        <x:v>Active</x:v>
      </x:c>
      <x:c r="E67" s="32"/>
      <x:c r="F67" s="32"/>
      <x:c r="G67" s="36" t="n">
        <x:f>'Operating Model'!G69</x:f>
        <x:v>0.12999997607769145</x:v>
      </x:c>
      <x:c r="H67" s="36" t="n">
        <x:f>'Operating Model'!H69</x:f>
        <x:v>0.1399999619254068</x:v>
      </x:c>
      <x:c r="I67" s="36" t="n">
        <x:f>'Operating Model'!I69</x:f>
        <x:v>0.15000001867906856</x:v>
      </x:c>
      <x:c r="J67" s="36" t="n">
        <x:f>'Operating Model'!J69</x:f>
        <x:v>0.15500002162545576</x:v>
      </x:c>
      <x:c r="K67" s="36" t="n">
        <x:f>'Operating Model'!K69</x:f>
        <x:v>0.15000003038750756</x:v>
      </x:c>
      <x:c r="L67" s="36" t="n">
        <x:f>'Operating Model'!L69</x:f>
        <x:v>0.14500000912644792</x:v>
      </x:c>
      <x:c r="M67" s="37" t="n">
        <x:f>IF(ISERROR($E$5),NA(),IF(CHOOSE($D$5,AND(ISNUMBER(M68),M68&gt;=0),AND(ISNUMBER(M69),M69&gt;=0),AND(ISNUMBER(M70),M70&gt;=0)),CHOOSE($D$5,M68,M69,M70),NA()))</x:f>
        <x:v>0.13</x:v>
      </x:c>
      <x:c r="N67" s="37" t="n">
        <x:f>IF(ISERROR($E$5),NA(),IF(CHOOSE($D$5,AND(ISNUMBER(N68),N68&gt;=0),AND(ISNUMBER(N69),N69&gt;=0),AND(ISNUMBER(N70),N70&gt;=0)),CHOOSE($D$5,N68,N69,N70),NA()))</x:f>
        <x:v>0.13</x:v>
      </x:c>
      <x:c r="O67" s="37" t="n">
        <x:f>IF(ISERROR($E$5),NA(),IF(CHOOSE($D$5,AND(ISNUMBER(O68),O68&gt;=0),AND(ISNUMBER(O69),O69&gt;=0),AND(ISNUMBER(O70),O70&gt;=0)),CHOOSE($D$5,O68,O69,O70),NA()))</x:f>
        <x:v>0.13</x:v>
      </x:c>
      <x:c r="P67" s="37" t="n">
        <x:f>IF(ISERROR($E$5),NA(),IF(CHOOSE($D$5,AND(ISNUMBER(P68),P68&gt;=0),AND(ISNUMBER(P69),P69&gt;=0),AND(ISNUMBER(P70),P70&gt;=0)),CHOOSE($D$5,P68,P69,P70),NA()))</x:f>
        <x:v>0.13</x:v>
      </x:c>
      <x:c r="Q67" s="37" t="n">
        <x:f>IF(ISERROR($E$5),NA(),IF(CHOOSE($D$5,AND(ISNUMBER(Q68),Q68&gt;=0),AND(ISNUMBER(Q69),Q69&gt;=0),AND(ISNUMBER(Q70),Q70&gt;=0)),CHOOSE($D$5,Q68,Q69,Q70),NA()))</x:f>
        <x:v>0.13</x:v>
      </x:c>
      <x:c r="R67" s="37" t="n">
        <x:f>IF(ISERROR($E$5),NA(),IF(CHOOSE($D$5,AND(ISNUMBER(R68),R68&gt;=0),AND(ISNUMBER(R69),R69&gt;=0),AND(ISNUMBER(R70),R70&gt;=0)),CHOOSE($D$5,R68,R69,R70),NA()))</x:f>
        <x:v>0.13</x:v>
      </x:c>
    </x:row>
    <x:row r="68" ht="20" customHeight="1">
      <x:c r="A68" s="2"/>
      <x:c r="B68" s="2"/>
      <x:c r="C68" s="2" t="str">
        <x:v>Base</x:v>
      </x:c>
      <x:c r="D68" s="2"/>
      <x:c r="E68" s="2"/>
      <x:c r="F68" s="2"/>
      <x:c r="G68" s="2"/>
      <x:c r="H68" s="2"/>
      <x:c r="I68" s="2"/>
      <x:c r="J68" s="2"/>
      <x:c r="K68" s="2"/>
      <x:c r="L68" s="2"/>
      <x:c r="M68" s="33" t="n">
        <x:v>0.13</x:v>
      </x:c>
      <x:c r="N68" s="33" t="n">
        <x:v>0.13</x:v>
      </x:c>
      <x:c r="O68" s="33" t="n">
        <x:v>0.13</x:v>
      </x:c>
      <x:c r="P68" s="33" t="n">
        <x:v>0.13</x:v>
      </x:c>
      <x:c r="Q68" s="33" t="n">
        <x:v>0.13</x:v>
      </x:c>
      <x:c r="R68" s="33" t="n">
        <x:v>0.13</x:v>
      </x:c>
    </x:row>
    <x:row r="69" ht="20" customHeight="1">
      <x:c r="A69" s="2"/>
      <x:c r="B69" s="2"/>
      <x:c r="C69" s="2" t="str">
        <x:v>Upside</x:v>
      </x:c>
      <x:c r="D69" s="2"/>
      <x:c r="E69" s="2"/>
      <x:c r="F69" s="2"/>
      <x:c r="G69" s="2"/>
      <x:c r="H69" s="2"/>
      <x:c r="I69" s="2"/>
      <x:c r="J69" s="2"/>
      <x:c r="K69" s="2"/>
      <x:c r="L69" s="2"/>
      <x:c r="M69" s="33" t="n">
        <x:v>0.12</x:v>
      </x:c>
      <x:c r="N69" s="33" t="n">
        <x:v>0.12</x:v>
      </x:c>
      <x:c r="O69" s="33" t="n">
        <x:v>0.12</x:v>
      </x:c>
      <x:c r="P69" s="33" t="n">
        <x:v>0.12</x:v>
      </x:c>
      <x:c r="Q69" s="33" t="n">
        <x:v>0.12</x:v>
      </x:c>
      <x:c r="R69" s="33" t="n">
        <x:v>0.12</x:v>
      </x:c>
    </x:row>
    <x:row r="70" ht="20" customHeight="1">
      <x:c r="A70" s="2"/>
      <x:c r="B70" s="2"/>
      <x:c r="C70" s="2" t="str">
        <x:v>Downside</x:v>
      </x:c>
      <x:c r="D70" s="2"/>
      <x:c r="E70" s="2"/>
      <x:c r="F70" s="2"/>
      <x:c r="G70" s="2"/>
      <x:c r="H70" s="2"/>
      <x:c r="I70" s="2"/>
      <x:c r="J70" s="2"/>
      <x:c r="K70" s="2"/>
      <x:c r="L70" s="2"/>
      <x:c r="M70" s="33" t="n">
        <x:v>0.16</x:v>
      </x:c>
      <x:c r="N70" s="33" t="n">
        <x:v>0.16</x:v>
      </x:c>
      <x:c r="O70" s="33" t="n">
        <x:v>0.16</x:v>
      </x:c>
      <x:c r="P70" s="33" t="n">
        <x:v>0.16</x:v>
      </x:c>
      <x:c r="Q70" s="33" t="n">
        <x:v>0.16</x:v>
      </x:c>
      <x:c r="R70" s="33" t="n">
        <x:v>0.16</x:v>
      </x:c>
    </x:row>
    <x:row r="71" ht="20" customHeight="1">
      <x:c r="A71" s="2"/>
      <x:c r="B71" s="2"/>
      <x:c r="C71" s="2"/>
      <x:c r="D71" s="2"/>
      <x:c r="E71" s="2"/>
      <x:c r="F71" s="2"/>
      <x:c r="G71" s="2"/>
      <x:c r="H71" s="2"/>
      <x:c r="I71" s="2"/>
      <x:c r="J71" s="2"/>
      <x:c r="K71" s="2"/>
      <x:c r="L71" s="2"/>
      <x:c r="M71" s="2"/>
      <x:c r="N71" s="2"/>
      <x:c r="O71" s="2"/>
      <x:c r="P71" s="2"/>
      <x:c r="Q71" s="2"/>
      <x:c r="R71" s="2"/>
    </x:row>
    <x:row r="72" ht="20" customHeight="1">
      <x:c r="A72" s="2"/>
      <x:c r="B72" s="2"/>
      <x:c r="C72" s="32" t="str">
        <x:v>Fixed opex / budget</x:v>
      </x:c>
      <x:c r="D72" s="32" t="str">
        <x:v>Active</x:v>
      </x:c>
      <x:c r="E72" s="32"/>
      <x:c r="F72" s="32"/>
      <x:c r="G72" s="36" t="n">
        <x:f>'Operating Model'!G71/'Operating Model'!G37</x:f>
        <x:v>1</x:v>
      </x:c>
      <x:c r="H72" s="36" t="n">
        <x:f>'Operating Model'!H71/'Operating Model'!H37</x:f>
        <x:v>1.0076923076923077</x:v>
      </x:c>
      <x:c r="I72" s="36" t="n">
        <x:f>'Operating Model'!I71/'Operating Model'!I37</x:f>
        <x:v>1.023076923076923</x:v>
      </x:c>
      <x:c r="J72" s="36" t="n">
        <x:f>'Operating Model'!J71/'Operating Model'!J37</x:f>
        <x:v>1.0384615384615385</x:v>
      </x:c>
      <x:c r="K72" s="36" t="n">
        <x:f>'Operating Model'!K71/'Operating Model'!K37</x:f>
        <x:v>1.0384615384615385</x:v>
      </x:c>
      <x:c r="L72" s="36" t="n">
        <x:f>'Operating Model'!L71/'Operating Model'!L37</x:f>
        <x:v>1.0307692307692307</x:v>
      </x:c>
      <x:c r="M72" s="37" t="n">
        <x:f>IF(ISERROR($E$5),NA(),IF(CHOOSE($D$5,AND(ISNUMBER(M73),M73&gt;=0),AND(ISNUMBER(M74),M74&gt;=0),AND(ISNUMBER(M75),M75&gt;=0)),CHOOSE($D$5,M73,M74,M75),NA()))</x:f>
        <x:v>1.02</x:v>
      </x:c>
      <x:c r="N72" s="37" t="n">
        <x:f>IF(ISERROR($E$5),NA(),IF(CHOOSE($D$5,AND(ISNUMBER(N73),N73&gt;=0),AND(ISNUMBER(N74),N74&gt;=0),AND(ISNUMBER(N75),N75&gt;=0)),CHOOSE($D$5,N73,N74,N75),NA()))</x:f>
        <x:v>1.02</x:v>
      </x:c>
      <x:c r="O72" s="37" t="n">
        <x:f>IF(ISERROR($E$5),NA(),IF(CHOOSE($D$5,AND(ISNUMBER(O73),O73&gt;=0),AND(ISNUMBER(O74),O74&gt;=0),AND(ISNUMBER(O75),O75&gt;=0)),CHOOSE($D$5,O73,O74,O75),NA()))</x:f>
        <x:v>1.02</x:v>
      </x:c>
      <x:c r="P72" s="37" t="n">
        <x:f>IF(ISERROR($E$5),NA(),IF(CHOOSE($D$5,AND(ISNUMBER(P73),P73&gt;=0),AND(ISNUMBER(P74),P74&gt;=0),AND(ISNUMBER(P75),P75&gt;=0)),CHOOSE($D$5,P73,P74,P75),NA()))</x:f>
        <x:v>1.02</x:v>
      </x:c>
      <x:c r="Q72" s="37" t="n">
        <x:f>IF(ISERROR($E$5),NA(),IF(CHOOSE($D$5,AND(ISNUMBER(Q73),Q73&gt;=0),AND(ISNUMBER(Q74),Q74&gt;=0),AND(ISNUMBER(Q75),Q75&gt;=0)),CHOOSE($D$5,Q73,Q74,Q75),NA()))</x:f>
        <x:v>1.02</x:v>
      </x:c>
      <x:c r="R72" s="37" t="n">
        <x:f>IF(ISERROR($E$5),NA(),IF(CHOOSE($D$5,AND(ISNUMBER(R73),R73&gt;=0),AND(ISNUMBER(R74),R74&gt;=0),AND(ISNUMBER(R75),R75&gt;=0)),CHOOSE($D$5,R73,R74,R75),NA()))</x:f>
        <x:v>1.02</x:v>
      </x:c>
    </x:row>
    <x:row r="73" ht="20" customHeight="1">
      <x:c r="A73" s="2"/>
      <x:c r="B73" s="2"/>
      <x:c r="C73" s="2" t="str">
        <x:v>Base</x:v>
      </x:c>
      <x:c r="D73" s="2"/>
      <x:c r="E73" s="2"/>
      <x:c r="F73" s="2"/>
      <x:c r="G73" s="2"/>
      <x:c r="H73" s="2"/>
      <x:c r="I73" s="2"/>
      <x:c r="J73" s="2"/>
      <x:c r="K73" s="2"/>
      <x:c r="L73" s="2"/>
      <x:c r="M73" s="33" t="n">
        <x:v>1.02</x:v>
      </x:c>
      <x:c r="N73" s="33" t="n">
        <x:v>1.02</x:v>
      </x:c>
      <x:c r="O73" s="33" t="n">
        <x:v>1.02</x:v>
      </x:c>
      <x:c r="P73" s="33" t="n">
        <x:v>1.02</x:v>
      </x:c>
      <x:c r="Q73" s="33" t="n">
        <x:v>1.02</x:v>
      </x:c>
      <x:c r="R73" s="33" t="n">
        <x:v>1.02</x:v>
      </x:c>
    </x:row>
    <x:row r="74" ht="20" customHeight="1">
      <x:c r="A74" s="2"/>
      <x:c r="B74" s="2"/>
      <x:c r="C74" s="2" t="str">
        <x:v>Upside</x:v>
      </x:c>
      <x:c r="D74" s="2"/>
      <x:c r="E74" s="2"/>
      <x:c r="F74" s="2"/>
      <x:c r="G74" s="2"/>
      <x:c r="H74" s="2"/>
      <x:c r="I74" s="2"/>
      <x:c r="J74" s="2"/>
      <x:c r="K74" s="2"/>
      <x:c r="L74" s="2"/>
      <x:c r="M74" s="33" t="n">
        <x:v>1</x:v>
      </x:c>
      <x:c r="N74" s="33" t="n">
        <x:v>1</x:v>
      </x:c>
      <x:c r="O74" s="33" t="n">
        <x:v>1</x:v>
      </x:c>
      <x:c r="P74" s="33" t="n">
        <x:v>1</x:v>
      </x:c>
      <x:c r="Q74" s="33" t="n">
        <x:v>1</x:v>
      </x:c>
      <x:c r="R74" s="33" t="n">
        <x:v>1</x:v>
      </x:c>
    </x:row>
    <x:row r="75" ht="20" customHeight="1">
      <x:c r="A75" s="2"/>
      <x:c r="B75" s="2"/>
      <x:c r="C75" s="2" t="str">
        <x:v>Downside</x:v>
      </x:c>
      <x:c r="D75" s="2"/>
      <x:c r="E75" s="2"/>
      <x:c r="F75" s="2"/>
      <x:c r="G75" s="2"/>
      <x:c r="H75" s="2"/>
      <x:c r="I75" s="2"/>
      <x:c r="J75" s="2"/>
      <x:c r="K75" s="2"/>
      <x:c r="L75" s="2"/>
      <x:c r="M75" s="33" t="n">
        <x:v>1.05</x:v>
      </x:c>
      <x:c r="N75" s="33" t="n">
        <x:v>1.05</x:v>
      </x:c>
      <x:c r="O75" s="33" t="n">
        <x:v>1.05</x:v>
      </x:c>
      <x:c r="P75" s="33" t="n">
        <x:v>1.05</x:v>
      </x:c>
      <x:c r="Q75" s="33" t="n">
        <x:v>1.05</x:v>
      </x:c>
      <x:c r="R75" s="33" t="n">
        <x:v>1.05</x:v>
      </x:c>
    </x:row>
    <x:row r="76" ht="20" customHeight="1">
      <x:c r="A76" s="2"/>
      <x:c r="B76" s="2"/>
      <x:c r="C76" s="2"/>
      <x:c r="D76" s="2"/>
      <x:c r="E76" s="2"/>
      <x:c r="F76" s="2"/>
      <x:c r="G76" s="2"/>
      <x:c r="H76" s="2"/>
      <x:c r="I76" s="2"/>
      <x:c r="J76" s="2"/>
      <x:c r="K76" s="2"/>
      <x:c r="L76" s="2"/>
      <x:c r="M76" s="2"/>
      <x:c r="N76" s="2"/>
      <x:c r="O76" s="2"/>
      <x:c r="P76" s="2"/>
      <x:c r="Q76" s="2"/>
      <x:c r="R76" s="2"/>
    </x:row>
    <x:row r="77" ht="20" customHeight="1">
      <x:c r="A77" s="2"/>
      <x:c r="B77" s="2"/>
      <x:c r="C77" s="2"/>
      <x:c r="D77" s="2"/>
      <x:c r="E77" s="2"/>
      <x:c r="F77" s="2"/>
      <x:c r="G77" s="2"/>
      <x:c r="H77" s="2"/>
      <x:c r="I77" s="2"/>
      <x:c r="J77" s="2"/>
      <x:c r="K77" s="2"/>
      <x:c r="L77" s="2"/>
      <x:c r="M77" s="2"/>
      <x:c r="N77" s="2"/>
      <x:c r="O77" s="2"/>
      <x:c r="P77" s="2"/>
      <x:c r="Q77" s="2"/>
      <x:c r="R77" s="2"/>
    </x:row>
    <x:row r="78" ht="26" customHeight="1">
      <x:c r="A78" s="2"/>
      <x:c r="B78" s="2"/>
      <x:c r="C78" s="21" t="str">
        <x:v>100% = original budget. Cost factors above 100% increase expenses.</x:v>
      </x:c>
      <x:c r="D78" s="21"/>
      <x:c r="E78" s="21"/>
      <x:c r="F78" s="21"/>
      <x:c r="G78" s="21"/>
      <x:c r="H78" s="21"/>
      <x:c r="I78" s="21"/>
      <x:c r="J78" s="21"/>
      <x:c r="K78" s="21"/>
      <x:c r="L78" s="21"/>
      <x:c r="M78" s="21"/>
      <x:c r="N78" s="21"/>
      <x:c r="O78" s="21"/>
      <x:c r="P78" s="21"/>
      <x:c r="Q78" s="21"/>
      <x:c r="R78" s="21"/>
    </x:row>
    <x:row r="79" ht="20" customHeight="1">
      <x:c r="A79" s="2"/>
      <x:c r="B79" s="2"/>
      <x:c r="C79" s="2"/>
      <x:c r="D79" s="2"/>
      <x:c r="E79" s="2"/>
      <x:c r="F79" s="2"/>
      <x:c r="G79" s="2"/>
      <x:c r="H79" s="2"/>
      <x:c r="I79" s="2"/>
      <x:c r="J79" s="2"/>
      <x:c r="K79" s="2"/>
      <x:c r="L79" s="2"/>
      <x:c r="M79" s="2"/>
      <x:c r="N79" s="2"/>
      <x:c r="O79" s="2"/>
      <x:c r="P79" s="2"/>
      <x:c r="Q79" s="2"/>
      <x:c r="R79" s="2"/>
    </x:row>
    <x:row r="80" ht="26" customHeight="1">
      <x:c r="A80" s="2"/>
      <x:c r="B80" s="2"/>
      <x:c r="C80" s="21" t="str">
        <x:v>Base: partial wholesale recovery, online growth and continuing input-cost inflation.</x:v>
      </x:c>
      <x:c r="D80" s="21"/>
      <x:c r="E80" s="21"/>
      <x:c r="F80" s="21"/>
      <x:c r="G80" s="21"/>
      <x:c r="H80" s="21"/>
      <x:c r="I80" s="21"/>
      <x:c r="J80" s="21"/>
      <x:c r="K80" s="21"/>
      <x:c r="L80" s="21"/>
      <x:c r="M80" s="21"/>
      <x:c r="N80" s="21"/>
      <x:c r="O80" s="21"/>
      <x:c r="P80" s="21"/>
      <x:c r="Q80" s="21"/>
      <x:c r="R80" s="21"/>
    </x:row>
    <x:row r="81" ht="20" customHeight="1">
      <x:c r="A81" s="2"/>
      <x:c r="B81" s="2"/>
      <x:c r="C81" s="2"/>
      <x:c r="D81" s="2"/>
      <x:c r="E81" s="2"/>
      <x:c r="F81" s="2"/>
      <x:c r="G81" s="2"/>
      <x:c r="H81" s="2"/>
      <x:c r="I81" s="2"/>
      <x:c r="J81" s="2"/>
      <x:c r="K81" s="2"/>
      <x:c r="L81" s="2"/>
      <x:c r="M81" s="2"/>
      <x:c r="N81" s="2"/>
      <x:c r="O81" s="2"/>
      <x:c r="P81" s="2"/>
      <x:c r="Q81" s="2"/>
      <x:c r="R81" s="2"/>
    </x:row>
    <x:row r="82" ht="26" customHeight="1">
      <x:c r="A82" s="2"/>
      <x:c r="B82" s="2"/>
      <x:c r="C82" s="21" t="str">
        <x:v>Upside: stronger demand, firmer pricing, better supplier terms and lower marketing intensity.</x:v>
      </x:c>
      <x:c r="D82" s="21"/>
      <x:c r="E82" s="21"/>
      <x:c r="F82" s="21"/>
      <x:c r="G82" s="21"/>
      <x:c r="H82" s="21"/>
      <x:c r="I82" s="21"/>
      <x:c r="J82" s="21"/>
      <x:c r="K82" s="21"/>
      <x:c r="L82" s="21"/>
      <x:c r="M82" s="21"/>
      <x:c r="N82" s="21"/>
      <x:c r="O82" s="21"/>
      <x:c r="P82" s="21"/>
      <x:c r="Q82" s="21"/>
      <x:c r="R82" s="21"/>
    </x:row>
    <x:row r="83" ht="20" customHeight="1">
      <x:c r="A83" s="2"/>
      <x:c r="B83" s="2"/>
      <x:c r="C83" s="2"/>
      <x:c r="D83" s="2"/>
      <x:c r="E83" s="2"/>
      <x:c r="F83" s="2"/>
      <x:c r="G83" s="2"/>
      <x:c r="H83" s="2"/>
      <x:c r="I83" s="2"/>
      <x:c r="J83" s="2"/>
      <x:c r="K83" s="2"/>
      <x:c r="L83" s="2"/>
      <x:c r="M83" s="2"/>
      <x:c r="N83" s="2"/>
      <x:c r="O83" s="2"/>
      <x:c r="P83" s="2"/>
      <x:c r="Q83" s="2"/>
      <x:c r="R83" s="2"/>
    </x:row>
    <x:row r="84" ht="26" customHeight="1">
      <x:c r="A84" s="2"/>
      <x:c r="B84" s="2"/>
      <x:c r="C84" s="21" t="str">
        <x:v>Downside: weaker volume, more discounting, higher supplier costs and marketing intensity.</x:v>
      </x:c>
      <x:c r="D84" s="21"/>
      <x:c r="E84" s="21"/>
      <x:c r="F84" s="21"/>
      <x:c r="G84" s="21"/>
      <x:c r="H84" s="21"/>
      <x:c r="I84" s="21"/>
      <x:c r="J84" s="21"/>
      <x:c r="K84" s="21"/>
      <x:c r="L84" s="21"/>
      <x:c r="M84" s="21"/>
      <x:c r="N84" s="21"/>
      <x:c r="O84" s="21"/>
      <x:c r="P84" s="21"/>
      <x:c r="Q84" s="21"/>
      <x:c r="R84" s="21"/>
    </x:row>
    <x:row r="85" ht="20" customHeight="1">
      <x:c r="A85" s="2"/>
      <x:c r="B85" s="2"/>
      <x:c r="C85" s="2"/>
      <x:c r="D85" s="2"/>
      <x:c r="E85" s="2"/>
      <x:c r="F85" s="2"/>
      <x:c r="G85" s="2"/>
      <x:c r="H85" s="2"/>
      <x:c r="I85" s="2"/>
      <x:c r="J85" s="2"/>
      <x:c r="K85" s="2"/>
      <x:c r="L85" s="2"/>
      <x:c r="M85" s="2"/>
      <x:c r="N85" s="2"/>
      <x:c r="O85" s="2"/>
      <x:c r="P85" s="2"/>
      <x:c r="Q85" s="2"/>
      <x:c r="R85" s="2"/>
    </x:row>
    <x:row r="86" ht="26" customHeight="1">
      <x:c r="A86" s="2"/>
      <x:c r="B86" s="2"/>
      <x:c r="C86" s="21" t="str">
        <x:v>Payroll and fulfilment unit rates follow original budget in Jul-Dec. Adjust them only as a deliberate baseline revision.</x:v>
      </x:c>
      <x:c r="D86" s="21"/>
      <x:c r="E86" s="21"/>
      <x:c r="F86" s="21"/>
      <x:c r="G86" s="21"/>
      <x:c r="H86" s="21"/>
      <x:c r="I86" s="21"/>
      <x:c r="J86" s="21"/>
      <x:c r="K86" s="21"/>
      <x:c r="L86" s="21"/>
      <x:c r="M86" s="21"/>
      <x:c r="N86" s="21"/>
      <x:c r="O86" s="21"/>
      <x:c r="P86" s="21"/>
      <x:c r="Q86" s="21"/>
      <x:c r="R86" s="21"/>
    </x:row>
    <x:row r="87" ht="20" customHeight="1">
      <x:c r="A87" s="2"/>
      <x:c r="B87" s="2"/>
      <x:c r="C87" s="2"/>
      <x:c r="D87" s="2"/>
      <x:c r="E87" s="2"/>
      <x:c r="F87" s="2"/>
      <x:c r="G87" s="2"/>
      <x:c r="H87" s="2"/>
      <x:c r="I87" s="2"/>
      <x:c r="J87" s="2"/>
      <x:c r="K87" s="2"/>
      <x:c r="L87" s="2"/>
      <x:c r="M87" s="2"/>
      <x:c r="N87" s="2"/>
      <x:c r="O87" s="2"/>
      <x:c r="P87" s="2"/>
      <x:c r="Q87" s="2"/>
      <x:c r="R87" s="2"/>
    </x:row>
    <x:row r="88" ht="26" customHeight="1">
      <x:c r="A88" s="2"/>
      <x:c r="B88" s="2"/>
      <x:c r="C88" s="21" t="str">
        <x:v>Inputs are simulated planning assumptions. Blank or negative selected drivers return #N/A. Zero is a valid driver.</x:v>
      </x:c>
      <x:c r="D88" s="21"/>
      <x:c r="E88" s="21"/>
      <x:c r="F88" s="21"/>
      <x:c r="G88" s="21"/>
      <x:c r="H88" s="21"/>
      <x:c r="I88" s="21"/>
      <x:c r="J88" s="21"/>
      <x:c r="K88" s="21"/>
      <x:c r="L88" s="21"/>
      <x:c r="M88" s="21"/>
      <x:c r="N88" s="21"/>
      <x:c r="O88" s="21"/>
      <x:c r="P88" s="21"/>
      <x:c r="Q88" s="21"/>
      <x:c r="R88" s="21"/>
    </x:row>
    <x:row r="89" ht="20" customHeight="1">
      <x:c r="A89" s="2"/>
      <x:c r="B89" s="2"/>
      <x:c r="C89" s="2"/>
      <x:c r="D89" s="2"/>
      <x:c r="E89" s="2"/>
      <x:c r="F89" s="2"/>
      <x:c r="G89" s="2"/>
      <x:c r="H89" s="2"/>
      <x:c r="I89" s="2"/>
      <x:c r="J89" s="2"/>
      <x:c r="K89" s="2"/>
      <x:c r="L89" s="2"/>
      <x:c r="M89" s="2"/>
      <x:c r="N89" s="2"/>
      <x:c r="O89" s="2"/>
      <x:c r="P89" s="2"/>
      <x:c r="Q89" s="2"/>
      <x:c r="R89" s="2"/>
    </x:row>
  </x:sheetData>
  <x:sheetProtection password="BE0E" sheet="1" objects="1" scenarios="1" formatCells="1" formatColumns="1" formatRows="1" insertColumns="1" insertRows="1" insertHyperlinks="1" deleteColumns="1" deleteRows="1" selectLockedCells="0" sort="1" autoFilter="1" pivotTables="1" selectUnlockedCells="0"/>
  <x:mergeCells>
    <x:mergeCell ref="C78:R78"/>
    <x:mergeCell ref="C80:R80"/>
    <x:mergeCell ref="C82:R82"/>
    <x:mergeCell ref="C84:R84"/>
    <x:mergeCell ref="C86:R86"/>
    <x:mergeCell ref="C88:R88"/>
  </x:mergeCells>
  <x:dataValidations count="1">
    <x:dataValidation type="list" sqref="D5">
      <x:formula1>"1,2,3"</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3" ySplit="7" topLeftCell="D8" activePane="bottomRight" state="frozen"/>
    </x:sheetView>
  </x:sheetViews>
  <x:sheetFormatPr defaultRowHeight="15"/>
  <x:cols>
    <x:col min="1" max="1" width="2.200000047683716" hidden="0" customWidth="1"/>
    <x:col min="2" max="2" width="2.200000047683716" hidden="0" customWidth="1"/>
    <x:col min="3" max="3" width="39" hidden="0" customWidth="1"/>
    <x:col min="4" max="4" width="13" hidden="0" customWidth="1"/>
    <x:col min="5" max="5" width="13" hidden="0" customWidth="1"/>
    <x:col min="6" max="6" width="2.200000047683716"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s>
  <x:sheetData>
    <x:row r="1" ht="20" customHeight="1">
      <x:c r="A1" s="2"/>
      <x:c r="B1" s="2"/>
      <x:c r="C1" s="2"/>
      <x:c r="D1" s="2"/>
      <x:c r="E1" s="2"/>
      <x:c r="F1" s="2"/>
      <x:c r="G1" s="2"/>
      <x:c r="H1" s="2"/>
      <x:c r="I1" s="2"/>
      <x:c r="J1" s="2"/>
      <x:c r="K1" s="2"/>
      <x:c r="L1" s="2"/>
      <x:c r="M1" s="2"/>
      <x:c r="N1" s="2"/>
      <x:c r="O1" s="2"/>
      <x:c r="P1" s="2"/>
      <x:c r="Q1" s="2"/>
      <x:c r="R1" s="2"/>
    </x:row>
    <x:row r="2" ht="29" customHeight="1">
      <x:c r="A2" s="2"/>
      <x:c r="B2" s="2"/>
      <x:c r="C2" s="3" t="str">
        <x:v>2026 operating model</x:v>
      </x:c>
      <x:c r="D2" s="2"/>
      <x:c r="E2" s="2"/>
      <x:c r="F2" s="2"/>
      <x:c r="G2" s="2"/>
      <x:c r="H2" s="2"/>
      <x:c r="I2" s="2"/>
      <x:c r="J2" s="2"/>
      <x:c r="K2" s="2"/>
      <x:c r="L2" s="2"/>
      <x:c r="M2" s="2"/>
      <x:c r="N2" s="2"/>
      <x:c r="O2" s="2"/>
      <x:c r="P2" s="2"/>
      <x:c r="Q2" s="2"/>
      <x:c r="R2" s="2"/>
    </x:row>
    <x:row r="3" ht="23" customHeight="1">
      <x:c r="A3" s="2"/>
      <x:c r="B3" s="2"/>
      <x:c r="C3" s="5" t="str">
        <x:v>CAD. Positive costs. Original budget and one active full-year outlook.</x:v>
      </x:c>
      <x:c r="D3" s="4"/>
      <x:c r="E3" s="4"/>
      <x:c r="F3" s="4"/>
      <x:c r="G3" s="4"/>
      <x:c r="H3" s="4"/>
      <x:c r="I3" s="4"/>
      <x:c r="J3" s="4"/>
      <x:c r="K3" s="4"/>
      <x:c r="L3" s="4"/>
      <x:c r="M3" s="4"/>
      <x:c r="N3" s="4"/>
      <x:c r="O3" s="4"/>
      <x:c r="P3" s="4"/>
      <x:c r="Q3" s="4"/>
      <x:c r="R3" s="4"/>
    </x:row>
    <x:row r="4" ht="20" customHeight="1">
      <x:c r="A4" s="2"/>
      <x:c r="B4" s="2"/>
      <x:c r="C4" s="2"/>
      <x:c r="D4" s="2"/>
      <x:c r="E4" s="2"/>
      <x:c r="F4" s="2"/>
      <x:c r="G4" s="2"/>
      <x:c r="H4" s="2"/>
      <x:c r="I4" s="2"/>
      <x:c r="J4" s="2"/>
      <x:c r="K4" s="2"/>
      <x:c r="L4" s="2"/>
      <x:c r="M4" s="2"/>
      <x:c r="N4" s="2"/>
      <x:c r="O4" s="2"/>
      <x:c r="P4" s="2"/>
      <x:c r="Q4" s="2"/>
      <x:c r="R4" s="2"/>
    </x:row>
    <x:row r="5" ht="20" customHeight="1">
      <x:c r="A5" s="2"/>
      <x:c r="B5" s="2"/>
      <x:c r="C5" s="2" t="str">
        <x:v>Case selected:</x:v>
      </x:c>
      <x:c r="D5" s="8" t="str">
        <x:f>'Assumptions'!E5</x:f>
        <x:v>Base</x:v>
      </x:c>
      <x:c r="E5" s="2"/>
      <x:c r="F5" s="2"/>
      <x:c r="G5" s="2"/>
      <x:c r="H5" s="2"/>
      <x:c r="I5" s="2"/>
      <x:c r="J5" s="2"/>
      <x:c r="K5" s="2"/>
      <x:c r="L5" s="2"/>
      <x:c r="M5" s="2"/>
      <x:c r="N5" s="2"/>
      <x:c r="O5" s="2"/>
      <x:c r="P5" s="2"/>
      <x:c r="Q5" s="2"/>
      <x:c r="R5" s="2"/>
    </x:row>
    <x:row r="6" ht="20" customHeight="1">
      <x:c r="A6" s="2"/>
      <x:c r="B6" s="2"/>
      <x:c r="C6" s="2"/>
      <x:c r="D6" s="2"/>
      <x:c r="E6" s="2"/>
      <x:c r="F6" s="2"/>
      <x:c r="G6" s="2"/>
      <x:c r="H6" s="2"/>
      <x:c r="I6" s="2"/>
      <x:c r="J6" s="2"/>
      <x:c r="K6" s="2"/>
      <x:c r="L6" s="2"/>
      <x:c r="M6" s="2"/>
      <x:c r="N6" s="2"/>
      <x:c r="O6" s="2"/>
      <x:c r="P6" s="2"/>
      <x:c r="Q6" s="2"/>
      <x:c r="R6" s="2"/>
    </x:row>
    <x:row r="7" ht="20" customHeight="1">
      <x:c r="A7" s="2"/>
      <x:c r="B7" s="2"/>
      <x:c r="C7" s="11" t="str">
        <x:v>Operating drivers and results</x:v>
      </x:c>
      <x:c r="D7" s="28" t="str">
        <x:v>2026</x:v>
      </x:c>
      <x:c r="E7" s="28" t="str">
        <x:v>Jan-Jun</x:v>
      </x:c>
      <x:c r="F7" s="29"/>
      <x:c r="G7" s="30" t="n">
        <x:v>46023</x:v>
      </x:c>
      <x:c r="H7" s="30" t="n">
        <x:v>46054</x:v>
      </x:c>
      <x:c r="I7" s="30" t="n">
        <x:v>46082</x:v>
      </x:c>
      <x:c r="J7" s="30" t="n">
        <x:v>46113</x:v>
      </x:c>
      <x:c r="K7" s="30" t="n">
        <x:v>46143</x:v>
      </x:c>
      <x:c r="L7" s="30" t="n">
        <x:v>46174</x:v>
      </x:c>
      <x:c r="M7" s="30" t="n">
        <x:v>46204</x:v>
      </x:c>
      <x:c r="N7" s="30" t="n">
        <x:v>46235</x:v>
      </x:c>
      <x:c r="O7" s="30" t="n">
        <x:v>46266</x:v>
      </x:c>
      <x:c r="P7" s="30" t="n">
        <x:v>46296</x:v>
      </x:c>
      <x:c r="Q7" s="30" t="n">
        <x:v>46327</x:v>
      </x:c>
      <x:c r="R7" s="30" t="n">
        <x:v>46357</x:v>
      </x:c>
    </x:row>
    <x:row r="8" ht="24" customHeight="1">
      <x:c r="A8" s="2"/>
      <x:c r="B8" s="2"/>
      <x:c r="C8" s="11" t="str">
        <x:v>Original budget</x:v>
      </x:c>
      <x:c r="D8" s="38"/>
      <x:c r="E8" s="38"/>
      <x:c r="F8" s="38"/>
      <x:c r="G8" s="38"/>
      <x:c r="H8" s="38"/>
      <x:c r="I8" s="38"/>
      <x:c r="J8" s="38"/>
      <x:c r="K8" s="38"/>
      <x:c r="L8" s="38"/>
      <x:c r="M8" s="38"/>
      <x:c r="N8" s="38"/>
      <x:c r="O8" s="38"/>
      <x:c r="P8" s="38"/>
      <x:c r="Q8" s="38"/>
      <x:c r="R8" s="38"/>
    </x:row>
    <x:row r="9" ht="20" customHeight="1">
      <x:c r="A9" s="2"/>
      <x:c r="B9" s="2"/>
      <x:c r="C9" s="2" t="str">
        <x:v>Wholesale units</x:v>
      </x:c>
      <x:c r="D9" s="41" t="n">
        <x:f>SUM(G9:R9)</x:f>
        <x:v>52000</x:v>
      </x:c>
      <x:c r="E9" s="41" t="n">
        <x:f>SUM(G9:L9)</x:f>
        <x:v>23200</x:v>
      </x:c>
      <x:c r="F9" s="39"/>
      <x:c r="G9" s="40" t="n">
        <x:f>IF(AND(ISNUMBER('Assumptions'!G10),'Assumptions'!G10&gt;=0),'Assumptions'!G10,NA())</x:f>
        <x:v>3400</x:v>
      </x:c>
      <x:c r="H9" s="40" t="n">
        <x:f>IF(AND(ISNUMBER('Assumptions'!H10),'Assumptions'!H10&gt;=0),'Assumptions'!H10,NA())</x:f>
        <x:v>3400</x:v>
      </x:c>
      <x:c r="I9" s="40" t="n">
        <x:f>IF(AND(ISNUMBER('Assumptions'!I10),'Assumptions'!I10&gt;=0),'Assumptions'!I10,NA())</x:f>
        <x:v>3800</x:v>
      </x:c>
      <x:c r="J9" s="40" t="n">
        <x:f>IF(AND(ISNUMBER('Assumptions'!J10),'Assumptions'!J10&gt;=0),'Assumptions'!J10,NA())</x:f>
        <x:v>4000</x:v>
      </x:c>
      <x:c r="K9" s="40" t="n">
        <x:f>IF(AND(ISNUMBER('Assumptions'!K10),'Assumptions'!K10&gt;=0),'Assumptions'!K10,NA())</x:f>
        <x:v>4200</x:v>
      </x:c>
      <x:c r="L9" s="40" t="n">
        <x:f>IF(AND(ISNUMBER('Assumptions'!L10),'Assumptions'!L10&gt;=0),'Assumptions'!L10,NA())</x:f>
        <x:v>4400</x:v>
      </x:c>
      <x:c r="M9" s="40" t="n">
        <x:f>IF(AND(ISNUMBER('Assumptions'!M10),'Assumptions'!M10&gt;=0),'Assumptions'!M10,NA())</x:f>
        <x:v>4000</x:v>
      </x:c>
      <x:c r="N9" s="40" t="n">
        <x:f>IF(AND(ISNUMBER('Assumptions'!N10),'Assumptions'!N10&gt;=0),'Assumptions'!N10,NA())</x:f>
        <x:v>4200</x:v>
      </x:c>
      <x:c r="O9" s="40" t="n">
        <x:f>IF(AND(ISNUMBER('Assumptions'!O10),'Assumptions'!O10&gt;=0),'Assumptions'!O10,NA())</x:f>
        <x:v>4600</x:v>
      </x:c>
      <x:c r="P9" s="40" t="n">
        <x:f>IF(AND(ISNUMBER('Assumptions'!P10),'Assumptions'!P10&gt;=0),'Assumptions'!P10,NA())</x:f>
        <x:v>4800</x:v>
      </x:c>
      <x:c r="Q9" s="40" t="n">
        <x:f>IF(AND(ISNUMBER('Assumptions'!Q10),'Assumptions'!Q10&gt;=0),'Assumptions'!Q10,NA())</x:f>
        <x:v>5200</x:v>
      </x:c>
      <x:c r="R9" s="40" t="n">
        <x:f>IF(AND(ISNUMBER('Assumptions'!R10),'Assumptions'!R10&gt;=0),'Assumptions'!R10,NA())</x:f>
        <x:v>6000</x:v>
      </x:c>
    </x:row>
    <x:row r="10" ht="20" customHeight="1">
      <x:c r="A10" s="2"/>
      <x:c r="B10" s="2"/>
      <x:c r="C10" s="2" t="str">
        <x:v>Wholesale price / unit</x:v>
      </x:c>
      <x:c r="D10" s="43" t="n">
        <x:f>IF(D9=0,NA(),D12/D9)</x:f>
        <x:v>48</x:v>
      </x:c>
      <x:c r="E10" s="43" t="n">
        <x:f>IF(E9=0,NA(),E12/E9)</x:f>
        <x:v>48</x:v>
      </x:c>
      <x:c r="F10" s="44"/>
      <x:c r="G10" s="45" t="n">
        <x:f>IF(AND(ISNUMBER('Assumptions'!G11),'Assumptions'!G11&gt;=0),'Assumptions'!G11,NA())</x:f>
        <x:v>48</x:v>
      </x:c>
      <x:c r="H10" s="45" t="n">
        <x:f>IF(AND(ISNUMBER('Assumptions'!H11),'Assumptions'!H11&gt;=0),'Assumptions'!H11,NA())</x:f>
        <x:v>48</x:v>
      </x:c>
      <x:c r="I10" s="45" t="n">
        <x:f>IF(AND(ISNUMBER('Assumptions'!I11),'Assumptions'!I11&gt;=0),'Assumptions'!I11,NA())</x:f>
        <x:v>48</x:v>
      </x:c>
      <x:c r="J10" s="45" t="n">
        <x:f>IF(AND(ISNUMBER('Assumptions'!J11),'Assumptions'!J11&gt;=0),'Assumptions'!J11,NA())</x:f>
        <x:v>48</x:v>
      </x:c>
      <x:c r="K10" s="45" t="n">
        <x:f>IF(AND(ISNUMBER('Assumptions'!K11),'Assumptions'!K11&gt;=0),'Assumptions'!K11,NA())</x:f>
        <x:v>48</x:v>
      </x:c>
      <x:c r="L10" s="45" t="n">
        <x:f>IF(AND(ISNUMBER('Assumptions'!L11),'Assumptions'!L11&gt;=0),'Assumptions'!L11,NA())</x:f>
        <x:v>48</x:v>
      </x:c>
      <x:c r="M10" s="45" t="n">
        <x:f>IF(AND(ISNUMBER('Assumptions'!M11),'Assumptions'!M11&gt;=0),'Assumptions'!M11,NA())</x:f>
        <x:v>48</x:v>
      </x:c>
      <x:c r="N10" s="45" t="n">
        <x:f>IF(AND(ISNUMBER('Assumptions'!N11),'Assumptions'!N11&gt;=0),'Assumptions'!N11,NA())</x:f>
        <x:v>48</x:v>
      </x:c>
      <x:c r="O10" s="45" t="n">
        <x:f>IF(AND(ISNUMBER('Assumptions'!O11),'Assumptions'!O11&gt;=0),'Assumptions'!O11,NA())</x:f>
        <x:v>48</x:v>
      </x:c>
      <x:c r="P10" s="45" t="n">
        <x:f>IF(AND(ISNUMBER('Assumptions'!P11),'Assumptions'!P11&gt;=0),'Assumptions'!P11,NA())</x:f>
        <x:v>48</x:v>
      </x:c>
      <x:c r="Q10" s="45" t="n">
        <x:f>IF(AND(ISNUMBER('Assumptions'!Q11),'Assumptions'!Q11&gt;=0),'Assumptions'!Q11,NA())</x:f>
        <x:v>48</x:v>
      </x:c>
      <x:c r="R10" s="45" t="n">
        <x:f>IF(AND(ISNUMBER('Assumptions'!R11),'Assumptions'!R11&gt;=0),'Assumptions'!R11,NA())</x:f>
        <x:v>48</x:v>
      </x:c>
    </x:row>
    <x:row r="11" ht="20" customHeight="1">
      <x:c r="A11" s="2"/>
      <x:c r="B11" s="2"/>
      <x:c r="C11" s="2" t="str">
        <x:v>Wholesale cost / unit</x:v>
      </x:c>
      <x:c r="D11" s="43" t="n">
        <x:f>IF(D9=0,NA(),D13/D9)</x:f>
        <x:v>30</x:v>
      </x:c>
      <x:c r="E11" s="43" t="n">
        <x:f>IF(E9=0,NA(),E13/E9)</x:f>
        <x:v>30</x:v>
      </x:c>
      <x:c r="F11" s="44"/>
      <x:c r="G11" s="45" t="n">
        <x:f>IF(AND(ISNUMBER('Assumptions'!G12),'Assumptions'!G12&gt;=0),'Assumptions'!G12,NA())</x:f>
        <x:v>30</x:v>
      </x:c>
      <x:c r="H11" s="45" t="n">
        <x:f>IF(AND(ISNUMBER('Assumptions'!H12),'Assumptions'!H12&gt;=0),'Assumptions'!H12,NA())</x:f>
        <x:v>30</x:v>
      </x:c>
      <x:c r="I11" s="45" t="n">
        <x:f>IF(AND(ISNUMBER('Assumptions'!I12),'Assumptions'!I12&gt;=0),'Assumptions'!I12,NA())</x:f>
        <x:v>30</x:v>
      </x:c>
      <x:c r="J11" s="45" t="n">
        <x:f>IF(AND(ISNUMBER('Assumptions'!J12),'Assumptions'!J12&gt;=0),'Assumptions'!J12,NA())</x:f>
        <x:v>30</x:v>
      </x:c>
      <x:c r="K11" s="45" t="n">
        <x:f>IF(AND(ISNUMBER('Assumptions'!K12),'Assumptions'!K12&gt;=0),'Assumptions'!K12,NA())</x:f>
        <x:v>30</x:v>
      </x:c>
      <x:c r="L11" s="45" t="n">
        <x:f>IF(AND(ISNUMBER('Assumptions'!L12),'Assumptions'!L12&gt;=0),'Assumptions'!L12,NA())</x:f>
        <x:v>30</x:v>
      </x:c>
      <x:c r="M11" s="45" t="n">
        <x:f>IF(AND(ISNUMBER('Assumptions'!M12),'Assumptions'!M12&gt;=0),'Assumptions'!M12,NA())</x:f>
        <x:v>30</x:v>
      </x:c>
      <x:c r="N11" s="45" t="n">
        <x:f>IF(AND(ISNUMBER('Assumptions'!N12),'Assumptions'!N12&gt;=0),'Assumptions'!N12,NA())</x:f>
        <x:v>30</x:v>
      </x:c>
      <x:c r="O11" s="45" t="n">
        <x:f>IF(AND(ISNUMBER('Assumptions'!O12),'Assumptions'!O12&gt;=0),'Assumptions'!O12,NA())</x:f>
        <x:v>30</x:v>
      </x:c>
      <x:c r="P11" s="45" t="n">
        <x:f>IF(AND(ISNUMBER('Assumptions'!P12),'Assumptions'!P12&gt;=0),'Assumptions'!P12,NA())</x:f>
        <x:v>30</x:v>
      </x:c>
      <x:c r="Q11" s="45" t="n">
        <x:f>IF(AND(ISNUMBER('Assumptions'!Q12),'Assumptions'!Q12&gt;=0),'Assumptions'!Q12,NA())</x:f>
        <x:v>30</x:v>
      </x:c>
      <x:c r="R11" s="45" t="n">
        <x:f>IF(AND(ISNUMBER('Assumptions'!R12),'Assumptions'!R12&gt;=0),'Assumptions'!R12,NA())</x:f>
        <x:v>30</x:v>
      </x:c>
    </x:row>
    <x:row r="12" ht="20" customHeight="1">
      <x:c r="A12" s="2"/>
      <x:c r="B12" s="2"/>
      <x:c r="C12" s="2" t="str">
        <x:v>Wholesale revenue</x:v>
      </x:c>
      <x:c r="D12" s="41" t="n">
        <x:f>SUM(G12:R12)</x:f>
        <x:v>2496000</x:v>
      </x:c>
      <x:c r="E12" s="41" t="n">
        <x:f>SUM(G12:L12)</x:f>
        <x:v>1113600</x:v>
      </x:c>
      <x:c r="F12" s="39"/>
      <x:c r="G12" s="41" t="n">
        <x:f>G9*G10</x:f>
        <x:v>163200</x:v>
      </x:c>
      <x:c r="H12" s="41" t="n">
        <x:f>H9*H10</x:f>
        <x:v>163200</x:v>
      </x:c>
      <x:c r="I12" s="41" t="n">
        <x:f>I9*I10</x:f>
        <x:v>182400</x:v>
      </x:c>
      <x:c r="J12" s="41" t="n">
        <x:f>J9*J10</x:f>
        <x:v>192000</x:v>
      </x:c>
      <x:c r="K12" s="41" t="n">
        <x:f>K9*K10</x:f>
        <x:v>201600</x:v>
      </x:c>
      <x:c r="L12" s="41" t="n">
        <x:f>L9*L10</x:f>
        <x:v>211200</x:v>
      </x:c>
      <x:c r="M12" s="41" t="n">
        <x:f>M9*M10</x:f>
        <x:v>192000</x:v>
      </x:c>
      <x:c r="N12" s="41" t="n">
        <x:f>N9*N10</x:f>
        <x:v>201600</x:v>
      </x:c>
      <x:c r="O12" s="41" t="n">
        <x:f>O9*O10</x:f>
        <x:v>220800</x:v>
      </x:c>
      <x:c r="P12" s="41" t="n">
        <x:f>P9*P10</x:f>
        <x:v>230400</x:v>
      </x:c>
      <x:c r="Q12" s="41" t="n">
        <x:f>Q9*Q10</x:f>
        <x:v>249600</x:v>
      </x:c>
      <x:c r="R12" s="41" t="n">
        <x:f>R9*R10</x:f>
        <x:v>288000</x:v>
      </x:c>
    </x:row>
    <x:row r="13" ht="20" customHeight="1">
      <x:c r="A13" s="2"/>
      <x:c r="B13" s="2"/>
      <x:c r="C13" s="2" t="str">
        <x:v>Wholesale COGS</x:v>
      </x:c>
      <x:c r="D13" s="41" t="n">
        <x:f>SUM(G13:R13)</x:f>
        <x:v>1560000</x:v>
      </x:c>
      <x:c r="E13" s="41" t="n">
        <x:f>SUM(G13:L13)</x:f>
        <x:v>696000</x:v>
      </x:c>
      <x:c r="F13" s="39"/>
      <x:c r="G13" s="41" t="n">
        <x:f>G9*G11</x:f>
        <x:v>102000</x:v>
      </x:c>
      <x:c r="H13" s="41" t="n">
        <x:f>H9*H11</x:f>
        <x:v>102000</x:v>
      </x:c>
      <x:c r="I13" s="41" t="n">
        <x:f>I9*I11</x:f>
        <x:v>114000</x:v>
      </x:c>
      <x:c r="J13" s="41" t="n">
        <x:f>J9*J11</x:f>
        <x:v>120000</x:v>
      </x:c>
      <x:c r="K13" s="41" t="n">
        <x:f>K9*K11</x:f>
        <x:v>126000</x:v>
      </x:c>
      <x:c r="L13" s="41" t="n">
        <x:f>L9*L11</x:f>
        <x:v>132000</x:v>
      </x:c>
      <x:c r="M13" s="41" t="n">
        <x:f>M9*M11</x:f>
        <x:v>120000</x:v>
      </x:c>
      <x:c r="N13" s="41" t="n">
        <x:f>N9*N11</x:f>
        <x:v>126000</x:v>
      </x:c>
      <x:c r="O13" s="41" t="n">
        <x:f>O9*O11</x:f>
        <x:v>138000</x:v>
      </x:c>
      <x:c r="P13" s="41" t="n">
        <x:f>P9*P11</x:f>
        <x:v>144000</x:v>
      </x:c>
      <x:c r="Q13" s="41" t="n">
        <x:f>Q9*Q11</x:f>
        <x:v>156000</x:v>
      </x:c>
      <x:c r="R13" s="41" t="n">
        <x:f>R9*R11</x:f>
        <x:v>180000</x:v>
      </x:c>
    </x:row>
    <x:row r="14" ht="20" customHeight="1">
      <x:c r="A14" s="2"/>
      <x:c r="B14" s="2"/>
      <x:c r="C14" s="2" t="str">
        <x:v>Wholesale gross profit</x:v>
      </x:c>
      <x:c r="D14" s="41" t="n">
        <x:f>SUM(G14:R14)</x:f>
        <x:v>936000</x:v>
      </x:c>
      <x:c r="E14" s="41" t="n">
        <x:f>SUM(G14:L14)</x:f>
        <x:v>417600</x:v>
      </x:c>
      <x:c r="F14" s="39"/>
      <x:c r="G14" s="41" t="n">
        <x:f>G12-G13</x:f>
        <x:v>61200</x:v>
      </x:c>
      <x:c r="H14" s="41" t="n">
        <x:f>H12-H13</x:f>
        <x:v>61200</x:v>
      </x:c>
      <x:c r="I14" s="41" t="n">
        <x:f>I12-I13</x:f>
        <x:v>68400</x:v>
      </x:c>
      <x:c r="J14" s="41" t="n">
        <x:f>J12-J13</x:f>
        <x:v>72000</x:v>
      </x:c>
      <x:c r="K14" s="41" t="n">
        <x:f>K12-K13</x:f>
        <x:v>75600</x:v>
      </x:c>
      <x:c r="L14" s="41" t="n">
        <x:f>L12-L13</x:f>
        <x:v>79200</x:v>
      </x:c>
      <x:c r="M14" s="41" t="n">
        <x:f>M12-M13</x:f>
        <x:v>72000</x:v>
      </x:c>
      <x:c r="N14" s="41" t="n">
        <x:f>N12-N13</x:f>
        <x:v>75600</x:v>
      </x:c>
      <x:c r="O14" s="41" t="n">
        <x:f>O12-O13</x:f>
        <x:v>82800</x:v>
      </x:c>
      <x:c r="P14" s="41" t="n">
        <x:f>P12-P13</x:f>
        <x:v>86400</x:v>
      </x:c>
      <x:c r="Q14" s="41" t="n">
        <x:f>Q12-Q13</x:f>
        <x:v>93600</x:v>
      </x:c>
      <x:c r="R14" s="41" t="n">
        <x:f>R12-R13</x:f>
        <x:v>108000</x:v>
      </x:c>
    </x:row>
    <x:row r="15" ht="20" customHeight="1">
      <x:c r="A15" s="2"/>
      <x:c r="B15" s="2"/>
      <x:c r="C15" s="2"/>
      <x:c r="D15" s="39"/>
      <x:c r="E15" s="39"/>
      <x:c r="F15" s="39"/>
      <x:c r="G15" s="39"/>
      <x:c r="H15" s="39"/>
      <x:c r="I15" s="39"/>
      <x:c r="J15" s="39"/>
      <x:c r="K15" s="39"/>
      <x:c r="L15" s="39"/>
      <x:c r="M15" s="39"/>
      <x:c r="N15" s="39"/>
      <x:c r="O15" s="39"/>
      <x:c r="P15" s="39"/>
      <x:c r="Q15" s="39"/>
      <x:c r="R15" s="39"/>
    </x:row>
    <x:row r="16" ht="20" customHeight="1">
      <x:c r="A16" s="2"/>
      <x:c r="B16" s="2"/>
      <x:c r="C16" s="2" t="str">
        <x:v>Online units</x:v>
      </x:c>
      <x:c r="D16" s="41" t="n">
        <x:f>SUM(G16:R16)</x:f>
        <x:v>21600</x:v>
      </x:c>
      <x:c r="E16" s="41" t="n">
        <x:f>SUM(G16:L16)</x:f>
        <x:v>9040</x:v>
      </x:c>
      <x:c r="F16" s="39"/>
      <x:c r="G16" s="40" t="n">
        <x:f>IF(AND(ISNUMBER('Assumptions'!G15),'Assumptions'!G15&gt;=0),'Assumptions'!G15,NA())</x:f>
        <x:v>1280</x:v>
      </x:c>
      <x:c r="H16" s="40" t="n">
        <x:f>IF(AND(ISNUMBER('Assumptions'!H15),'Assumptions'!H15&gt;=0),'Assumptions'!H15,NA())</x:f>
        <x:v>1360</x:v>
      </x:c>
      <x:c r="I16" s="40" t="n">
        <x:f>IF(AND(ISNUMBER('Assumptions'!I15),'Assumptions'!I15&gt;=0),'Assumptions'!I15,NA())</x:f>
        <x:v>1520</x:v>
      </x:c>
      <x:c r="J16" s="40" t="n">
        <x:f>IF(AND(ISNUMBER('Assumptions'!J15),'Assumptions'!J15&gt;=0),'Assumptions'!J15,NA())</x:f>
        <x:v>1600</x:v>
      </x:c>
      <x:c r="K16" s="40" t="n">
        <x:f>IF(AND(ISNUMBER('Assumptions'!K15),'Assumptions'!K15&gt;=0),'Assumptions'!K15,NA())</x:f>
        <x:v>1600</x:v>
      </x:c>
      <x:c r="L16" s="40" t="n">
        <x:f>IF(AND(ISNUMBER('Assumptions'!L15),'Assumptions'!L15&gt;=0),'Assumptions'!L15,NA())</x:f>
        <x:v>1680</x:v>
      </x:c>
      <x:c r="M16" s="40" t="n">
        <x:f>IF(AND(ISNUMBER('Assumptions'!M15),'Assumptions'!M15&gt;=0),'Assumptions'!M15,NA())</x:f>
        <x:v>1600</x:v>
      </x:c>
      <x:c r="N16" s="40" t="n">
        <x:f>IF(AND(ISNUMBER('Assumptions'!N15),'Assumptions'!N15&gt;=0),'Assumptions'!N15,NA())</x:f>
        <x:v>1680</x:v>
      </x:c>
      <x:c r="O16" s="40" t="n">
        <x:f>IF(AND(ISNUMBER('Assumptions'!O15),'Assumptions'!O15&gt;=0),'Assumptions'!O15,NA())</x:f>
        <x:v>1840</x:v>
      </x:c>
      <x:c r="P16" s="40" t="n">
        <x:f>IF(AND(ISNUMBER('Assumptions'!P15),'Assumptions'!P15&gt;=0),'Assumptions'!P15,NA())</x:f>
        <x:v>2000</x:v>
      </x:c>
      <x:c r="Q16" s="40" t="n">
        <x:f>IF(AND(ISNUMBER('Assumptions'!Q15),'Assumptions'!Q15&gt;=0),'Assumptions'!Q15,NA())</x:f>
        <x:v>2560</x:v>
      </x:c>
      <x:c r="R16" s="40" t="n">
        <x:f>IF(AND(ISNUMBER('Assumptions'!R15),'Assumptions'!R15&gt;=0),'Assumptions'!R15,NA())</x:f>
        <x:v>2880</x:v>
      </x:c>
    </x:row>
    <x:row r="17" ht="20" customHeight="1">
      <x:c r="A17" s="2"/>
      <x:c r="B17" s="2"/>
      <x:c r="C17" s="2" t="str">
        <x:v>Online price / unit</x:v>
      </x:c>
      <x:c r="D17" s="43" t="n">
        <x:f>IF(D16=0,NA(),D19/D16)</x:f>
        <x:v>66</x:v>
      </x:c>
      <x:c r="E17" s="43" t="n">
        <x:f>IF(E16=0,NA(),E19/E16)</x:f>
        <x:v>66</x:v>
      </x:c>
      <x:c r="F17" s="44"/>
      <x:c r="G17" s="45" t="n">
        <x:f>IF(AND(ISNUMBER('Assumptions'!G16),'Assumptions'!G16&gt;=0),'Assumptions'!G16,NA())</x:f>
        <x:v>66</x:v>
      </x:c>
      <x:c r="H17" s="45" t="n">
        <x:f>IF(AND(ISNUMBER('Assumptions'!H16),'Assumptions'!H16&gt;=0),'Assumptions'!H16,NA())</x:f>
        <x:v>66</x:v>
      </x:c>
      <x:c r="I17" s="45" t="n">
        <x:f>IF(AND(ISNUMBER('Assumptions'!I16),'Assumptions'!I16&gt;=0),'Assumptions'!I16,NA())</x:f>
        <x:v>66</x:v>
      </x:c>
      <x:c r="J17" s="45" t="n">
        <x:f>IF(AND(ISNUMBER('Assumptions'!J16),'Assumptions'!J16&gt;=0),'Assumptions'!J16,NA())</x:f>
        <x:v>66</x:v>
      </x:c>
      <x:c r="K17" s="45" t="n">
        <x:f>IF(AND(ISNUMBER('Assumptions'!K16),'Assumptions'!K16&gt;=0),'Assumptions'!K16,NA())</x:f>
        <x:v>66</x:v>
      </x:c>
      <x:c r="L17" s="45" t="n">
        <x:f>IF(AND(ISNUMBER('Assumptions'!L16),'Assumptions'!L16&gt;=0),'Assumptions'!L16,NA())</x:f>
        <x:v>66</x:v>
      </x:c>
      <x:c r="M17" s="45" t="n">
        <x:f>IF(AND(ISNUMBER('Assumptions'!M16),'Assumptions'!M16&gt;=0),'Assumptions'!M16,NA())</x:f>
        <x:v>66</x:v>
      </x:c>
      <x:c r="N17" s="45" t="n">
        <x:f>IF(AND(ISNUMBER('Assumptions'!N16),'Assumptions'!N16&gt;=0),'Assumptions'!N16,NA())</x:f>
        <x:v>66</x:v>
      </x:c>
      <x:c r="O17" s="45" t="n">
        <x:f>IF(AND(ISNUMBER('Assumptions'!O16),'Assumptions'!O16&gt;=0),'Assumptions'!O16,NA())</x:f>
        <x:v>66</x:v>
      </x:c>
      <x:c r="P17" s="45" t="n">
        <x:f>IF(AND(ISNUMBER('Assumptions'!P16),'Assumptions'!P16&gt;=0),'Assumptions'!P16,NA())</x:f>
        <x:v>66</x:v>
      </x:c>
      <x:c r="Q17" s="45" t="n">
        <x:f>IF(AND(ISNUMBER('Assumptions'!Q16),'Assumptions'!Q16&gt;=0),'Assumptions'!Q16,NA())</x:f>
        <x:v>66</x:v>
      </x:c>
      <x:c r="R17" s="45" t="n">
        <x:f>IF(AND(ISNUMBER('Assumptions'!R16),'Assumptions'!R16&gt;=0),'Assumptions'!R16,NA())</x:f>
        <x:v>66</x:v>
      </x:c>
    </x:row>
    <x:row r="18" ht="20" customHeight="1">
      <x:c r="A18" s="2"/>
      <x:c r="B18" s="2"/>
      <x:c r="C18" s="2" t="str">
        <x:v>Online cost / unit</x:v>
      </x:c>
      <x:c r="D18" s="43" t="n">
        <x:f>IF(D16=0,NA(),D20/D16)</x:f>
        <x:v>32</x:v>
      </x:c>
      <x:c r="E18" s="43" t="n">
        <x:f>IF(E16=0,NA(),E20/E16)</x:f>
        <x:v>32</x:v>
      </x:c>
      <x:c r="F18" s="44"/>
      <x:c r="G18" s="45" t="n">
        <x:f>IF(AND(ISNUMBER('Assumptions'!G17),'Assumptions'!G17&gt;=0),'Assumptions'!G17,NA())</x:f>
        <x:v>32</x:v>
      </x:c>
      <x:c r="H18" s="45" t="n">
        <x:f>IF(AND(ISNUMBER('Assumptions'!H17),'Assumptions'!H17&gt;=0),'Assumptions'!H17,NA())</x:f>
        <x:v>32</x:v>
      </x:c>
      <x:c r="I18" s="45" t="n">
        <x:f>IF(AND(ISNUMBER('Assumptions'!I17),'Assumptions'!I17&gt;=0),'Assumptions'!I17,NA())</x:f>
        <x:v>32</x:v>
      </x:c>
      <x:c r="J18" s="45" t="n">
        <x:f>IF(AND(ISNUMBER('Assumptions'!J17),'Assumptions'!J17&gt;=0),'Assumptions'!J17,NA())</x:f>
        <x:v>32</x:v>
      </x:c>
      <x:c r="K18" s="45" t="n">
        <x:f>IF(AND(ISNUMBER('Assumptions'!K17),'Assumptions'!K17&gt;=0),'Assumptions'!K17,NA())</x:f>
        <x:v>32</x:v>
      </x:c>
      <x:c r="L18" s="45" t="n">
        <x:f>IF(AND(ISNUMBER('Assumptions'!L17),'Assumptions'!L17&gt;=0),'Assumptions'!L17,NA())</x:f>
        <x:v>32</x:v>
      </x:c>
      <x:c r="M18" s="45" t="n">
        <x:f>IF(AND(ISNUMBER('Assumptions'!M17),'Assumptions'!M17&gt;=0),'Assumptions'!M17,NA())</x:f>
        <x:v>32</x:v>
      </x:c>
      <x:c r="N18" s="45" t="n">
        <x:f>IF(AND(ISNUMBER('Assumptions'!N17),'Assumptions'!N17&gt;=0),'Assumptions'!N17,NA())</x:f>
        <x:v>32</x:v>
      </x:c>
      <x:c r="O18" s="45" t="n">
        <x:f>IF(AND(ISNUMBER('Assumptions'!O17),'Assumptions'!O17&gt;=0),'Assumptions'!O17,NA())</x:f>
        <x:v>32</x:v>
      </x:c>
      <x:c r="P18" s="45" t="n">
        <x:f>IF(AND(ISNUMBER('Assumptions'!P17),'Assumptions'!P17&gt;=0),'Assumptions'!P17,NA())</x:f>
        <x:v>32</x:v>
      </x:c>
      <x:c r="Q18" s="45" t="n">
        <x:f>IF(AND(ISNUMBER('Assumptions'!Q17),'Assumptions'!Q17&gt;=0),'Assumptions'!Q17,NA())</x:f>
        <x:v>32</x:v>
      </x:c>
      <x:c r="R18" s="45" t="n">
        <x:f>IF(AND(ISNUMBER('Assumptions'!R17),'Assumptions'!R17&gt;=0),'Assumptions'!R17,NA())</x:f>
        <x:v>32</x:v>
      </x:c>
    </x:row>
    <x:row r="19" ht="20" customHeight="1">
      <x:c r="A19" s="2"/>
      <x:c r="B19" s="2"/>
      <x:c r="C19" s="2" t="str">
        <x:v>Online revenue</x:v>
      </x:c>
      <x:c r="D19" s="41" t="n">
        <x:f>SUM(G19:R19)</x:f>
        <x:v>1425600</x:v>
      </x:c>
      <x:c r="E19" s="41" t="n">
        <x:f>SUM(G19:L19)</x:f>
        <x:v>596640</x:v>
      </x:c>
      <x:c r="F19" s="39"/>
      <x:c r="G19" s="41" t="n">
        <x:f>G16*G17</x:f>
        <x:v>84480</x:v>
      </x:c>
      <x:c r="H19" s="41" t="n">
        <x:f>H16*H17</x:f>
        <x:v>89760</x:v>
      </x:c>
      <x:c r="I19" s="41" t="n">
        <x:f>I16*I17</x:f>
        <x:v>100320</x:v>
      </x:c>
      <x:c r="J19" s="41" t="n">
        <x:f>J16*J17</x:f>
        <x:v>105600</x:v>
      </x:c>
      <x:c r="K19" s="41" t="n">
        <x:f>K16*K17</x:f>
        <x:v>105600</x:v>
      </x:c>
      <x:c r="L19" s="41" t="n">
        <x:f>L16*L17</x:f>
        <x:v>110880</x:v>
      </x:c>
      <x:c r="M19" s="41" t="n">
        <x:f>M16*M17</x:f>
        <x:v>105600</x:v>
      </x:c>
      <x:c r="N19" s="41" t="n">
        <x:f>N16*N17</x:f>
        <x:v>110880</x:v>
      </x:c>
      <x:c r="O19" s="41" t="n">
        <x:f>O16*O17</x:f>
        <x:v>121440</x:v>
      </x:c>
      <x:c r="P19" s="41" t="n">
        <x:f>P16*P17</x:f>
        <x:v>132000</x:v>
      </x:c>
      <x:c r="Q19" s="41" t="n">
        <x:f>Q16*Q17</x:f>
        <x:v>168960</x:v>
      </x:c>
      <x:c r="R19" s="41" t="n">
        <x:f>R16*R17</x:f>
        <x:v>190080</x:v>
      </x:c>
    </x:row>
    <x:row r="20" ht="20" customHeight="1">
      <x:c r="A20" s="2"/>
      <x:c r="B20" s="2"/>
      <x:c r="C20" s="2" t="str">
        <x:v>Online COGS</x:v>
      </x:c>
      <x:c r="D20" s="41" t="n">
        <x:f>SUM(G20:R20)</x:f>
        <x:v>691200</x:v>
      </x:c>
      <x:c r="E20" s="41" t="n">
        <x:f>SUM(G20:L20)</x:f>
        <x:v>289280</x:v>
      </x:c>
      <x:c r="F20" s="39"/>
      <x:c r="G20" s="41" t="n">
        <x:f>G16*G18</x:f>
        <x:v>40960</x:v>
      </x:c>
      <x:c r="H20" s="41" t="n">
        <x:f>H16*H18</x:f>
        <x:v>43520</x:v>
      </x:c>
      <x:c r="I20" s="41" t="n">
        <x:f>I16*I18</x:f>
        <x:v>48640</x:v>
      </x:c>
      <x:c r="J20" s="41" t="n">
        <x:f>J16*J18</x:f>
        <x:v>51200</x:v>
      </x:c>
      <x:c r="K20" s="41" t="n">
        <x:f>K16*K18</x:f>
        <x:v>51200</x:v>
      </x:c>
      <x:c r="L20" s="41" t="n">
        <x:f>L16*L18</x:f>
        <x:v>53760</x:v>
      </x:c>
      <x:c r="M20" s="41" t="n">
        <x:f>M16*M18</x:f>
        <x:v>51200</x:v>
      </x:c>
      <x:c r="N20" s="41" t="n">
        <x:f>N16*N18</x:f>
        <x:v>53760</x:v>
      </x:c>
      <x:c r="O20" s="41" t="n">
        <x:f>O16*O18</x:f>
        <x:v>58880</x:v>
      </x:c>
      <x:c r="P20" s="41" t="n">
        <x:f>P16*P18</x:f>
        <x:v>64000</x:v>
      </x:c>
      <x:c r="Q20" s="41" t="n">
        <x:f>Q16*Q18</x:f>
        <x:v>81920</x:v>
      </x:c>
      <x:c r="R20" s="41" t="n">
        <x:f>R16*R18</x:f>
        <x:v>92160</x:v>
      </x:c>
    </x:row>
    <x:row r="21" ht="20" customHeight="1">
      <x:c r="A21" s="2"/>
      <x:c r="B21" s="2"/>
      <x:c r="C21" s="2" t="str">
        <x:v>Online gross profit</x:v>
      </x:c>
      <x:c r="D21" s="41" t="n">
        <x:f>SUM(G21:R21)</x:f>
        <x:v>734400</x:v>
      </x:c>
      <x:c r="E21" s="41" t="n">
        <x:f>SUM(G21:L21)</x:f>
        <x:v>307360</x:v>
      </x:c>
      <x:c r="F21" s="39"/>
      <x:c r="G21" s="41" t="n">
        <x:f>G19-G20</x:f>
        <x:v>43520</x:v>
      </x:c>
      <x:c r="H21" s="41" t="n">
        <x:f>H19-H20</x:f>
        <x:v>46240</x:v>
      </x:c>
      <x:c r="I21" s="41" t="n">
        <x:f>I19-I20</x:f>
        <x:v>51680</x:v>
      </x:c>
      <x:c r="J21" s="41" t="n">
        <x:f>J19-J20</x:f>
        <x:v>54400</x:v>
      </x:c>
      <x:c r="K21" s="41" t="n">
        <x:f>K19-K20</x:f>
        <x:v>54400</x:v>
      </x:c>
      <x:c r="L21" s="41" t="n">
        <x:f>L19-L20</x:f>
        <x:v>57120</x:v>
      </x:c>
      <x:c r="M21" s="41" t="n">
        <x:f>M19-M20</x:f>
        <x:v>54400</x:v>
      </x:c>
      <x:c r="N21" s="41" t="n">
        <x:f>N19-N20</x:f>
        <x:v>57120</x:v>
      </x:c>
      <x:c r="O21" s="41" t="n">
        <x:f>O19-O20</x:f>
        <x:v>62560</x:v>
      </x:c>
      <x:c r="P21" s="41" t="n">
        <x:f>P19-P20</x:f>
        <x:v>68000</x:v>
      </x:c>
      <x:c r="Q21" s="41" t="n">
        <x:f>Q19-Q20</x:f>
        <x:v>87040</x:v>
      </x:c>
      <x:c r="R21" s="41" t="n">
        <x:f>R19-R20</x:f>
        <x:v>97920</x:v>
      </x:c>
    </x:row>
    <x:row r="22" ht="20" customHeight="1">
      <x:c r="A22" s="2"/>
      <x:c r="B22" s="2"/>
      <x:c r="C22" s="2"/>
      <x:c r="D22" s="39"/>
      <x:c r="E22" s="39"/>
      <x:c r="F22" s="39"/>
      <x:c r="G22" s="39"/>
      <x:c r="H22" s="39"/>
      <x:c r="I22" s="39"/>
      <x:c r="J22" s="39"/>
      <x:c r="K22" s="39"/>
      <x:c r="L22" s="39"/>
      <x:c r="M22" s="39"/>
      <x:c r="N22" s="39"/>
      <x:c r="O22" s="39"/>
      <x:c r="P22" s="39"/>
      <x:c r="Q22" s="39"/>
      <x:c r="R22" s="39"/>
    </x:row>
    <x:row r="23" ht="20" customHeight="1">
      <x:c r="A23" s="2"/>
      <x:c r="B23" s="2"/>
      <x:c r="C23" s="55" t="str">
        <x:v>Revenue</x:v>
      </x:c>
      <x:c r="D23" s="56" t="n">
        <x:f>SUM(G23:R23)</x:f>
        <x:v>3921600</x:v>
      </x:c>
      <x:c r="E23" s="56" t="n">
        <x:f>SUM(G23:L23)</x:f>
        <x:v>1710240</x:v>
      </x:c>
      <x:c r="F23" s="39"/>
      <x:c r="G23" s="56" t="n">
        <x:f>SUM(G12,G19)</x:f>
        <x:v>247680</x:v>
      </x:c>
      <x:c r="H23" s="56" t="n">
        <x:f>SUM(H12,H19)</x:f>
        <x:v>252960</x:v>
      </x:c>
      <x:c r="I23" s="56" t="n">
        <x:f>SUM(I12,I19)</x:f>
        <x:v>282720</x:v>
      </x:c>
      <x:c r="J23" s="56" t="n">
        <x:f>SUM(J12,J19)</x:f>
        <x:v>297600</x:v>
      </x:c>
      <x:c r="K23" s="56" t="n">
        <x:f>SUM(K12,K19)</x:f>
        <x:v>307200</x:v>
      </x:c>
      <x:c r="L23" s="56" t="n">
        <x:f>SUM(L12,L19)</x:f>
        <x:v>322080</x:v>
      </x:c>
      <x:c r="M23" s="56" t="n">
        <x:f>SUM(M12,M19)</x:f>
        <x:v>297600</x:v>
      </x:c>
      <x:c r="N23" s="56" t="n">
        <x:f>SUM(N12,N19)</x:f>
        <x:v>312480</x:v>
      </x:c>
      <x:c r="O23" s="56" t="n">
        <x:f>SUM(O12,O19)</x:f>
        <x:v>342240</x:v>
      </x:c>
      <x:c r="P23" s="56" t="n">
        <x:f>SUM(P12,P19)</x:f>
        <x:v>362400</x:v>
      </x:c>
      <x:c r="Q23" s="56" t="n">
        <x:f>SUM(Q12,Q19)</x:f>
        <x:v>418560</x:v>
      </x:c>
      <x:c r="R23" s="56" t="n">
        <x:f>SUM(R12,R19)</x:f>
        <x:v>478080</x:v>
      </x:c>
    </x:row>
    <x:row r="24" ht="20" customHeight="1">
      <x:c r="A24" s="2"/>
      <x:c r="B24" s="2"/>
      <x:c r="C24" s="2" t="str">
        <x:v>COGS</x:v>
      </x:c>
      <x:c r="D24" s="41" t="n">
        <x:f>SUM(G24:R24)</x:f>
        <x:v>2251200</x:v>
      </x:c>
      <x:c r="E24" s="41" t="n">
        <x:f>SUM(G24:L24)</x:f>
        <x:v>985280</x:v>
      </x:c>
      <x:c r="F24" s="39"/>
      <x:c r="G24" s="41" t="n">
        <x:f>SUM(G13,G20)</x:f>
        <x:v>142960</x:v>
      </x:c>
      <x:c r="H24" s="41" t="n">
        <x:f>SUM(H13,H20)</x:f>
        <x:v>145520</x:v>
      </x:c>
      <x:c r="I24" s="41" t="n">
        <x:f>SUM(I13,I20)</x:f>
        <x:v>162640</x:v>
      </x:c>
      <x:c r="J24" s="41" t="n">
        <x:f>SUM(J13,J20)</x:f>
        <x:v>171200</x:v>
      </x:c>
      <x:c r="K24" s="41" t="n">
        <x:f>SUM(K13,K20)</x:f>
        <x:v>177200</x:v>
      </x:c>
      <x:c r="L24" s="41" t="n">
        <x:f>SUM(L13,L20)</x:f>
        <x:v>185760</x:v>
      </x:c>
      <x:c r="M24" s="41" t="n">
        <x:f>SUM(M13,M20)</x:f>
        <x:v>171200</x:v>
      </x:c>
      <x:c r="N24" s="41" t="n">
        <x:f>SUM(N13,N20)</x:f>
        <x:v>179760</x:v>
      </x:c>
      <x:c r="O24" s="41" t="n">
        <x:f>SUM(O13,O20)</x:f>
        <x:v>196880</x:v>
      </x:c>
      <x:c r="P24" s="41" t="n">
        <x:f>SUM(P13,P20)</x:f>
        <x:v>208000</x:v>
      </x:c>
      <x:c r="Q24" s="41" t="n">
        <x:f>SUM(Q13,Q20)</x:f>
        <x:v>237920</x:v>
      </x:c>
      <x:c r="R24" s="41" t="n">
        <x:f>SUM(R13,R20)</x:f>
        <x:v>272160</x:v>
      </x:c>
    </x:row>
    <x:row r="25" ht="20" customHeight="1">
      <x:c r="A25" s="2"/>
      <x:c r="B25" s="2"/>
      <x:c r="C25" s="55" t="str">
        <x:v>Gross profit</x:v>
      </x:c>
      <x:c r="D25" s="56" t="n">
        <x:f>SUM(G25:R25)</x:f>
        <x:v>1670400</x:v>
      </x:c>
      <x:c r="E25" s="56" t="n">
        <x:f>SUM(G25:L25)</x:f>
        <x:v>724960</x:v>
      </x:c>
      <x:c r="F25" s="39"/>
      <x:c r="G25" s="56" t="n">
        <x:f>G23-G24</x:f>
        <x:v>104720</x:v>
      </x:c>
      <x:c r="H25" s="56" t="n">
        <x:f>H23-H24</x:f>
        <x:v>107440</x:v>
      </x:c>
      <x:c r="I25" s="56" t="n">
        <x:f>I23-I24</x:f>
        <x:v>120080</x:v>
      </x:c>
      <x:c r="J25" s="56" t="n">
        <x:f>J23-J24</x:f>
        <x:v>126400</x:v>
      </x:c>
      <x:c r="K25" s="56" t="n">
        <x:f>K23-K24</x:f>
        <x:v>130000</x:v>
      </x:c>
      <x:c r="L25" s="56" t="n">
        <x:f>L23-L24</x:f>
        <x:v>136320</x:v>
      </x:c>
      <x:c r="M25" s="56" t="n">
        <x:f>M23-M24</x:f>
        <x:v>126400</x:v>
      </x:c>
      <x:c r="N25" s="56" t="n">
        <x:f>N23-N24</x:f>
        <x:v>132720</x:v>
      </x:c>
      <x:c r="O25" s="56" t="n">
        <x:f>O23-O24</x:f>
        <x:v>145360</x:v>
      </x:c>
      <x:c r="P25" s="56" t="n">
        <x:f>P23-P24</x:f>
        <x:v>154400</x:v>
      </x:c>
      <x:c r="Q25" s="56" t="n">
        <x:f>Q23-Q24</x:f>
        <x:v>180640</x:v>
      </x:c>
      <x:c r="R25" s="56" t="n">
        <x:f>R23-R24</x:f>
        <x:v>205920</x:v>
      </x:c>
    </x:row>
    <x:row r="26" ht="20" customHeight="1">
      <x:c r="A26" s="2"/>
      <x:c r="B26" s="2"/>
      <x:c r="C26" s="48" t="str">
        <x:v>Gross margin</x:v>
      </x:c>
      <x:c r="D26" s="49" t="n">
        <x:f>IF(D23=0,NA(),D25/D23)</x:f>
        <x:v>0.4259485924112607</x:v>
      </x:c>
      <x:c r="E26" s="49" t="n">
        <x:f>IF(E23=0,NA(),E25/E23)</x:f>
        <x:v>0.42389372251847696</x:v>
      </x:c>
      <x:c r="F26" s="50"/>
      <x:c r="G26" s="49" t="n">
        <x:f>IF(G23=0,NA(),G25/G23)</x:f>
        <x:v>0.42280361757105944</x:v>
      </x:c>
      <x:c r="H26" s="49" t="n">
        <x:f>IF(H23=0,NA(),H25/H23)</x:f>
        <x:v>0.42473118279569894</x:v>
      </x:c>
      <x:c r="I26" s="49" t="n">
        <x:f>IF(I23=0,NA(),I25/I23)</x:f>
        <x:v>0.42473118279569894</x:v>
      </x:c>
      <x:c r="J26" s="49" t="n">
        <x:f>IF(J23=0,NA(),J25/J23)</x:f>
        <x:v>0.42473118279569894</x:v>
      </x:c>
      <x:c r="K26" s="49" t="n">
        <x:f>IF(K23=0,NA(),K25/K23)</x:f>
        <x:v>0.4231770833333333</x:v>
      </x:c>
      <x:c r="L26" s="49" t="n">
        <x:f>IF(L23=0,NA(),L25/L23)</x:f>
        <x:v>0.4232488822652757</x:v>
      </x:c>
      <x:c r="M26" s="49" t="n">
        <x:f>IF(M23=0,NA(),M25/M23)</x:f>
        <x:v>0.42473118279569894</x:v>
      </x:c>
      <x:c r="N26" s="49" t="n">
        <x:f>IF(N23=0,NA(),N25/N23)</x:f>
        <x:v>0.42473118279569894</x:v>
      </x:c>
      <x:c r="O26" s="49" t="n">
        <x:f>IF(O23=0,NA(),O25/O23)</x:f>
        <x:v>0.42473118279569894</x:v>
      </x:c>
      <x:c r="P26" s="49" t="n">
        <x:f>IF(P23=0,NA(),P25/P23)</x:f>
        <x:v>0.4260485651214128</x:v>
      </x:c>
      <x:c r="Q26" s="49" t="n">
        <x:f>IF(Q23=0,NA(),Q25/Q23)</x:f>
        <x:v>0.4315749235474006</x:v>
      </x:c>
      <x:c r="R26" s="49" t="n">
        <x:f>IF(R23=0,NA(),R25/R23)</x:f>
        <x:v>0.4307228915662651</x:v>
      </x:c>
    </x:row>
    <x:row r="27" ht="20" customHeight="1">
      <x:c r="A27" s="2"/>
      <x:c r="B27" s="2"/>
      <x:c r="C27" s="2"/>
      <x:c r="D27" s="39"/>
      <x:c r="E27" s="39"/>
      <x:c r="F27" s="39"/>
      <x:c r="G27" s="39"/>
      <x:c r="H27" s="39"/>
      <x:c r="I27" s="39"/>
      <x:c r="J27" s="39"/>
      <x:c r="K27" s="39"/>
      <x:c r="L27" s="39"/>
      <x:c r="M27" s="39"/>
      <x:c r="N27" s="39"/>
      <x:c r="O27" s="39"/>
      <x:c r="P27" s="39"/>
      <x:c r="Q27" s="39"/>
      <x:c r="R27" s="39"/>
    </x:row>
    <x:row r="28" ht="20" customHeight="1">
      <x:c r="A28" s="2"/>
      <x:c r="B28" s="2"/>
      <x:c r="C28" s="2" t="str">
        <x:v>Paid FTE</x:v>
      </x:c>
      <x:c r="D28" s="39"/>
      <x:c r="E28" s="39"/>
      <x:c r="F28" s="39"/>
      <x:c r="G28" s="40" t="n">
        <x:f>IF(AND(ISNUMBER('Assumptions'!G20),'Assumptions'!G20&gt;=0),'Assumptions'!G20,NA())</x:f>
        <x:v>7</x:v>
      </x:c>
      <x:c r="H28" s="40" t="n">
        <x:f>IF(AND(ISNUMBER('Assumptions'!H20),'Assumptions'!H20&gt;=0),'Assumptions'!H20,NA())</x:f>
        <x:v>7</x:v>
      </x:c>
      <x:c r="I28" s="40" t="n">
        <x:f>IF(AND(ISNUMBER('Assumptions'!I20),'Assumptions'!I20&gt;=0),'Assumptions'!I20,NA())</x:f>
        <x:v>7</x:v>
      </x:c>
      <x:c r="J28" s="40" t="n">
        <x:f>IF(AND(ISNUMBER('Assumptions'!J20),'Assumptions'!J20&gt;=0),'Assumptions'!J20,NA())</x:f>
        <x:v>7</x:v>
      </x:c>
      <x:c r="K28" s="40" t="n">
        <x:f>IF(AND(ISNUMBER('Assumptions'!K20),'Assumptions'!K20&gt;=0),'Assumptions'!K20,NA())</x:f>
        <x:v>7</x:v>
      </x:c>
      <x:c r="L28" s="40" t="n">
        <x:f>IF(AND(ISNUMBER('Assumptions'!L20),'Assumptions'!L20&gt;=0),'Assumptions'!L20,NA())</x:f>
        <x:v>7</x:v>
      </x:c>
      <x:c r="M28" s="40" t="n">
        <x:f>IF(AND(ISNUMBER('Assumptions'!M20),'Assumptions'!M20&gt;=0),'Assumptions'!M20,NA())</x:f>
        <x:v>7</x:v>
      </x:c>
      <x:c r="N28" s="40" t="n">
        <x:f>IF(AND(ISNUMBER('Assumptions'!N20),'Assumptions'!N20&gt;=0),'Assumptions'!N20,NA())</x:f>
        <x:v>7</x:v>
      </x:c>
      <x:c r="O28" s="40" t="n">
        <x:f>IF(AND(ISNUMBER('Assumptions'!O20),'Assumptions'!O20&gt;=0),'Assumptions'!O20,NA())</x:f>
        <x:v>7</x:v>
      </x:c>
      <x:c r="P28" s="40" t="n">
        <x:f>IF(AND(ISNUMBER('Assumptions'!P20),'Assumptions'!P20&gt;=0),'Assumptions'!P20,NA())</x:f>
        <x:v>7</x:v>
      </x:c>
      <x:c r="Q28" s="40" t="n">
        <x:f>IF(AND(ISNUMBER('Assumptions'!Q20),'Assumptions'!Q20&gt;=0),'Assumptions'!Q20,NA())</x:f>
        <x:v>7</x:v>
      </x:c>
      <x:c r="R28" s="40" t="n">
        <x:f>IF(AND(ISNUMBER('Assumptions'!R20),'Assumptions'!R20&gt;=0),'Assumptions'!R20,NA())</x:f>
        <x:v>7</x:v>
      </x:c>
    </x:row>
    <x:row r="29" ht="20" customHeight="1">
      <x:c r="A29" s="2"/>
      <x:c r="B29" s="2"/>
      <x:c r="C29" s="2" t="str">
        <x:v>Annual salary / FTE</x:v>
      </x:c>
      <x:c r="D29" s="39"/>
      <x:c r="E29" s="39"/>
      <x:c r="F29" s="39"/>
      <x:c r="G29" s="40" t="n">
        <x:f>IF(AND(ISNUMBER('Assumptions'!G21),'Assumptions'!G21&gt;=0),'Assumptions'!G21,NA())</x:f>
        <x:v>66000</x:v>
      </x:c>
      <x:c r="H29" s="40" t="n">
        <x:f>IF(AND(ISNUMBER('Assumptions'!H21),'Assumptions'!H21&gt;=0),'Assumptions'!H21,NA())</x:f>
        <x:v>66000</x:v>
      </x:c>
      <x:c r="I29" s="40" t="n">
        <x:f>IF(AND(ISNUMBER('Assumptions'!I21),'Assumptions'!I21&gt;=0),'Assumptions'!I21,NA())</x:f>
        <x:v>66000</x:v>
      </x:c>
      <x:c r="J29" s="40" t="n">
        <x:f>IF(AND(ISNUMBER('Assumptions'!J21),'Assumptions'!J21&gt;=0),'Assumptions'!J21,NA())</x:f>
        <x:v>66000</x:v>
      </x:c>
      <x:c r="K29" s="40" t="n">
        <x:f>IF(AND(ISNUMBER('Assumptions'!K21),'Assumptions'!K21&gt;=0),'Assumptions'!K21,NA())</x:f>
        <x:v>66000</x:v>
      </x:c>
      <x:c r="L29" s="40" t="n">
        <x:f>IF(AND(ISNUMBER('Assumptions'!L21),'Assumptions'!L21&gt;=0),'Assumptions'!L21,NA())</x:f>
        <x:v>66000</x:v>
      </x:c>
      <x:c r="M29" s="40" t="n">
        <x:f>IF(AND(ISNUMBER('Assumptions'!M21),'Assumptions'!M21&gt;=0),'Assumptions'!M21,NA())</x:f>
        <x:v>66000</x:v>
      </x:c>
      <x:c r="N29" s="40" t="n">
        <x:f>IF(AND(ISNUMBER('Assumptions'!N21),'Assumptions'!N21&gt;=0),'Assumptions'!N21,NA())</x:f>
        <x:v>66000</x:v>
      </x:c>
      <x:c r="O29" s="40" t="n">
        <x:f>IF(AND(ISNUMBER('Assumptions'!O21),'Assumptions'!O21&gt;=0),'Assumptions'!O21,NA())</x:f>
        <x:v>66000</x:v>
      </x:c>
      <x:c r="P29" s="40" t="n">
        <x:f>IF(AND(ISNUMBER('Assumptions'!P21),'Assumptions'!P21&gt;=0),'Assumptions'!P21,NA())</x:f>
        <x:v>66000</x:v>
      </x:c>
      <x:c r="Q29" s="40" t="n">
        <x:f>IF(AND(ISNUMBER('Assumptions'!Q21),'Assumptions'!Q21&gt;=0),'Assumptions'!Q21,NA())</x:f>
        <x:v>66000</x:v>
      </x:c>
      <x:c r="R29" s="40" t="n">
        <x:f>IF(AND(ISNUMBER('Assumptions'!R21),'Assumptions'!R21&gt;=0),'Assumptions'!R21,NA())</x:f>
        <x:v>66000</x:v>
      </x:c>
    </x:row>
    <x:row r="30" ht="20" customHeight="1">
      <x:c r="A30" s="2"/>
      <x:c r="B30" s="2"/>
      <x:c r="C30" s="48" t="str">
        <x:v>Employer cost rate</x:v>
      </x:c>
      <x:c r="D30" s="50"/>
      <x:c r="E30" s="50"/>
      <x:c r="F30" s="50"/>
      <x:c r="G30" s="52" t="n">
        <x:f>IF(AND(ISNUMBER('Assumptions'!G22),'Assumptions'!G22&gt;=0),'Assumptions'!G22,NA())</x:f>
        <x:v>0.15</x:v>
      </x:c>
      <x:c r="H30" s="52" t="n">
        <x:f>IF(AND(ISNUMBER('Assumptions'!H22),'Assumptions'!H22&gt;=0),'Assumptions'!H22,NA())</x:f>
        <x:v>0.15</x:v>
      </x:c>
      <x:c r="I30" s="52" t="n">
        <x:f>IF(AND(ISNUMBER('Assumptions'!I22),'Assumptions'!I22&gt;=0),'Assumptions'!I22,NA())</x:f>
        <x:v>0.15</x:v>
      </x:c>
      <x:c r="J30" s="52" t="n">
        <x:f>IF(AND(ISNUMBER('Assumptions'!J22),'Assumptions'!J22&gt;=0),'Assumptions'!J22,NA())</x:f>
        <x:v>0.15</x:v>
      </x:c>
      <x:c r="K30" s="52" t="n">
        <x:f>IF(AND(ISNUMBER('Assumptions'!K22),'Assumptions'!K22&gt;=0),'Assumptions'!K22,NA())</x:f>
        <x:v>0.15</x:v>
      </x:c>
      <x:c r="L30" s="52" t="n">
        <x:f>IF(AND(ISNUMBER('Assumptions'!L22),'Assumptions'!L22&gt;=0),'Assumptions'!L22,NA())</x:f>
        <x:v>0.15</x:v>
      </x:c>
      <x:c r="M30" s="52" t="n">
        <x:f>IF(AND(ISNUMBER('Assumptions'!M22),'Assumptions'!M22&gt;=0),'Assumptions'!M22,NA())</x:f>
        <x:v>0.15</x:v>
      </x:c>
      <x:c r="N30" s="52" t="n">
        <x:f>IF(AND(ISNUMBER('Assumptions'!N22),'Assumptions'!N22&gt;=0),'Assumptions'!N22,NA())</x:f>
        <x:v>0.15</x:v>
      </x:c>
      <x:c r="O30" s="52" t="n">
        <x:f>IF(AND(ISNUMBER('Assumptions'!O22),'Assumptions'!O22&gt;=0),'Assumptions'!O22,NA())</x:f>
        <x:v>0.15</x:v>
      </x:c>
      <x:c r="P30" s="52" t="n">
        <x:f>IF(AND(ISNUMBER('Assumptions'!P22),'Assumptions'!P22&gt;=0),'Assumptions'!P22,NA())</x:f>
        <x:v>0.15</x:v>
      </x:c>
      <x:c r="Q30" s="52" t="n">
        <x:f>IF(AND(ISNUMBER('Assumptions'!Q22),'Assumptions'!Q22&gt;=0),'Assumptions'!Q22,NA())</x:f>
        <x:v>0.15</x:v>
      </x:c>
      <x:c r="R30" s="52" t="n">
        <x:f>IF(AND(ISNUMBER('Assumptions'!R22),'Assumptions'!R22&gt;=0),'Assumptions'!R22,NA())</x:f>
        <x:v>0.15</x:v>
      </x:c>
    </x:row>
    <x:row r="31" ht="20" customHeight="1">
      <x:c r="A31" s="2"/>
      <x:c r="B31" s="2"/>
      <x:c r="C31" s="2" t="str">
        <x:v>Payroll</x:v>
      </x:c>
      <x:c r="D31" s="41" t="n">
        <x:f>SUM(G31:R31)</x:f>
        <x:v>531300</x:v>
      </x:c>
      <x:c r="E31" s="41" t="n">
        <x:f>SUM(G31:L31)</x:f>
        <x:v>265650</x:v>
      </x:c>
      <x:c r="F31" s="39"/>
      <x:c r="G31" s="41" t="n">
        <x:f>G28*G29/12*(1+G30)</x:f>
        <x:v>44275</x:v>
      </x:c>
      <x:c r="H31" s="41" t="n">
        <x:f>H28*H29/12*(1+H30)</x:f>
        <x:v>44275</x:v>
      </x:c>
      <x:c r="I31" s="41" t="n">
        <x:f>I28*I29/12*(1+I30)</x:f>
        <x:v>44275</x:v>
      </x:c>
      <x:c r="J31" s="41" t="n">
        <x:f>J28*J29/12*(1+J30)</x:f>
        <x:v>44275</x:v>
      </x:c>
      <x:c r="K31" s="41" t="n">
        <x:f>K28*K29/12*(1+K30)</x:f>
        <x:v>44275</x:v>
      </x:c>
      <x:c r="L31" s="41" t="n">
        <x:f>L28*L29/12*(1+L30)</x:f>
        <x:v>44275</x:v>
      </x:c>
      <x:c r="M31" s="41" t="n">
        <x:f>M28*M29/12*(1+M30)</x:f>
        <x:v>44275</x:v>
      </x:c>
      <x:c r="N31" s="41" t="n">
        <x:f>N28*N29/12*(1+N30)</x:f>
        <x:v>44275</x:v>
      </x:c>
      <x:c r="O31" s="41" t="n">
        <x:f>O28*O29/12*(1+O30)</x:f>
        <x:v>44275</x:v>
      </x:c>
      <x:c r="P31" s="41" t="n">
        <x:f>P28*P29/12*(1+P30)</x:f>
        <x:v>44275</x:v>
      </x:c>
      <x:c r="Q31" s="41" t="n">
        <x:f>Q28*Q29/12*(1+Q30)</x:f>
        <x:v>44275</x:v>
      </x:c>
      <x:c r="R31" s="41" t="n">
        <x:f>R28*R29/12*(1+R30)</x:f>
        <x:v>44275</x:v>
      </x:c>
    </x:row>
    <x:row r="32" ht="20" customHeight="1">
      <x:c r="A32" s="2"/>
      <x:c r="B32" s="2"/>
      <x:c r="C32" s="2" t="str">
        <x:v>Wholesale delivery / unit</x:v>
      </x:c>
      <x:c r="D32" s="44"/>
      <x:c r="E32" s="44"/>
      <x:c r="F32" s="44"/>
      <x:c r="G32" s="45" t="n">
        <x:f>IF(AND(ISNUMBER('Assumptions'!G24),'Assumptions'!G24&gt;=0),'Assumptions'!G24,NA())</x:f>
        <x:v>1.2</x:v>
      </x:c>
      <x:c r="H32" s="45" t="n">
        <x:f>IF(AND(ISNUMBER('Assumptions'!H24),'Assumptions'!H24&gt;=0),'Assumptions'!H24,NA())</x:f>
        <x:v>1.2</x:v>
      </x:c>
      <x:c r="I32" s="45" t="n">
        <x:f>IF(AND(ISNUMBER('Assumptions'!I24),'Assumptions'!I24&gt;=0),'Assumptions'!I24,NA())</x:f>
        <x:v>1.2</x:v>
      </x:c>
      <x:c r="J32" s="45" t="n">
        <x:f>IF(AND(ISNUMBER('Assumptions'!J24),'Assumptions'!J24&gt;=0),'Assumptions'!J24,NA())</x:f>
        <x:v>1.2</x:v>
      </x:c>
      <x:c r="K32" s="45" t="n">
        <x:f>IF(AND(ISNUMBER('Assumptions'!K24),'Assumptions'!K24&gt;=0),'Assumptions'!K24,NA())</x:f>
        <x:v>1.2</x:v>
      </x:c>
      <x:c r="L32" s="45" t="n">
        <x:f>IF(AND(ISNUMBER('Assumptions'!L24),'Assumptions'!L24&gt;=0),'Assumptions'!L24,NA())</x:f>
        <x:v>1.2</x:v>
      </x:c>
      <x:c r="M32" s="45" t="n">
        <x:f>IF(AND(ISNUMBER('Assumptions'!M24),'Assumptions'!M24&gt;=0),'Assumptions'!M24,NA())</x:f>
        <x:v>1.2</x:v>
      </x:c>
      <x:c r="N32" s="45" t="n">
        <x:f>IF(AND(ISNUMBER('Assumptions'!N24),'Assumptions'!N24&gt;=0),'Assumptions'!N24,NA())</x:f>
        <x:v>1.2</x:v>
      </x:c>
      <x:c r="O32" s="45" t="n">
        <x:f>IF(AND(ISNUMBER('Assumptions'!O24),'Assumptions'!O24&gt;=0),'Assumptions'!O24,NA())</x:f>
        <x:v>1.2</x:v>
      </x:c>
      <x:c r="P32" s="45" t="n">
        <x:f>IF(AND(ISNUMBER('Assumptions'!P24),'Assumptions'!P24&gt;=0),'Assumptions'!P24,NA())</x:f>
        <x:v>1.2</x:v>
      </x:c>
      <x:c r="Q32" s="45" t="n">
        <x:f>IF(AND(ISNUMBER('Assumptions'!Q24),'Assumptions'!Q24&gt;=0),'Assumptions'!Q24,NA())</x:f>
        <x:v>1.2</x:v>
      </x:c>
      <x:c r="R32" s="45" t="n">
        <x:f>IF(AND(ISNUMBER('Assumptions'!R24),'Assumptions'!R24&gt;=0),'Assumptions'!R24,NA())</x:f>
        <x:v>1.2</x:v>
      </x:c>
    </x:row>
    <x:row r="33" ht="20" customHeight="1">
      <x:c r="A33" s="2"/>
      <x:c r="B33" s="2"/>
      <x:c r="C33" s="2" t="str">
        <x:v>Online fulfilment / unit</x:v>
      </x:c>
      <x:c r="D33" s="44"/>
      <x:c r="E33" s="44"/>
      <x:c r="F33" s="44"/>
      <x:c r="G33" s="45" t="n">
        <x:f>IF(AND(ISNUMBER('Assumptions'!G25),'Assumptions'!G25&gt;=0),'Assumptions'!G25,NA())</x:f>
        <x:v>5</x:v>
      </x:c>
      <x:c r="H33" s="45" t="n">
        <x:f>IF(AND(ISNUMBER('Assumptions'!H25),'Assumptions'!H25&gt;=0),'Assumptions'!H25,NA())</x:f>
        <x:v>5</x:v>
      </x:c>
      <x:c r="I33" s="45" t="n">
        <x:f>IF(AND(ISNUMBER('Assumptions'!I25),'Assumptions'!I25&gt;=0),'Assumptions'!I25,NA())</x:f>
        <x:v>5</x:v>
      </x:c>
      <x:c r="J33" s="45" t="n">
        <x:f>IF(AND(ISNUMBER('Assumptions'!J25),'Assumptions'!J25&gt;=0),'Assumptions'!J25,NA())</x:f>
        <x:v>5</x:v>
      </x:c>
      <x:c r="K33" s="45" t="n">
        <x:f>IF(AND(ISNUMBER('Assumptions'!K25),'Assumptions'!K25&gt;=0),'Assumptions'!K25,NA())</x:f>
        <x:v>5</x:v>
      </x:c>
      <x:c r="L33" s="45" t="n">
        <x:f>IF(AND(ISNUMBER('Assumptions'!L25),'Assumptions'!L25&gt;=0),'Assumptions'!L25,NA())</x:f>
        <x:v>5</x:v>
      </x:c>
      <x:c r="M33" s="45" t="n">
        <x:f>IF(AND(ISNUMBER('Assumptions'!M25),'Assumptions'!M25&gt;=0),'Assumptions'!M25,NA())</x:f>
        <x:v>5</x:v>
      </x:c>
      <x:c r="N33" s="45" t="n">
        <x:f>IF(AND(ISNUMBER('Assumptions'!N25),'Assumptions'!N25&gt;=0),'Assumptions'!N25,NA())</x:f>
        <x:v>5</x:v>
      </x:c>
      <x:c r="O33" s="45" t="n">
        <x:f>IF(AND(ISNUMBER('Assumptions'!O25),'Assumptions'!O25&gt;=0),'Assumptions'!O25,NA())</x:f>
        <x:v>5</x:v>
      </x:c>
      <x:c r="P33" s="45" t="n">
        <x:f>IF(AND(ISNUMBER('Assumptions'!P25),'Assumptions'!P25&gt;=0),'Assumptions'!P25,NA())</x:f>
        <x:v>5</x:v>
      </x:c>
      <x:c r="Q33" s="45" t="n">
        <x:f>IF(AND(ISNUMBER('Assumptions'!Q25),'Assumptions'!Q25&gt;=0),'Assumptions'!Q25,NA())</x:f>
        <x:v>5</x:v>
      </x:c>
      <x:c r="R33" s="45" t="n">
        <x:f>IF(AND(ISNUMBER('Assumptions'!R25),'Assumptions'!R25&gt;=0),'Assumptions'!R25,NA())</x:f>
        <x:v>5</x:v>
      </x:c>
    </x:row>
    <x:row r="34" ht="20" customHeight="1">
      <x:c r="A34" s="2"/>
      <x:c r="B34" s="2"/>
      <x:c r="C34" s="2" t="str">
        <x:v>Fulfilment expense</x:v>
      </x:c>
      <x:c r="D34" s="41" t="n">
        <x:f>SUM(G34:R34)</x:f>
        <x:v>170400</x:v>
      </x:c>
      <x:c r="E34" s="41" t="n">
        <x:f>SUM(G34:L34)</x:f>
        <x:v>73040</x:v>
      </x:c>
      <x:c r="F34" s="39"/>
      <x:c r="G34" s="41" t="n">
        <x:f>G9*G32+G16*G33</x:f>
        <x:v>10480</x:v>
      </x:c>
      <x:c r="H34" s="41" t="n">
        <x:f>H9*H32+H16*H33</x:f>
        <x:v>10880</x:v>
      </x:c>
      <x:c r="I34" s="41" t="n">
        <x:f>I9*I32+I16*I33</x:f>
        <x:v>12160</x:v>
      </x:c>
      <x:c r="J34" s="41" t="n">
        <x:f>J9*J32+J16*J33</x:f>
        <x:v>12800</x:v>
      </x:c>
      <x:c r="K34" s="41" t="n">
        <x:f>K9*K32+K16*K33</x:f>
        <x:v>13040</x:v>
      </x:c>
      <x:c r="L34" s="41" t="n">
        <x:f>L9*L32+L16*L33</x:f>
        <x:v>13680</x:v>
      </x:c>
      <x:c r="M34" s="41" t="n">
        <x:f>M9*M32+M16*M33</x:f>
        <x:v>12800</x:v>
      </x:c>
      <x:c r="N34" s="41" t="n">
        <x:f>N9*N32+N16*N33</x:f>
        <x:v>13440</x:v>
      </x:c>
      <x:c r="O34" s="41" t="n">
        <x:f>O9*O32+O16*O33</x:f>
        <x:v>14720</x:v>
      </x:c>
      <x:c r="P34" s="41" t="n">
        <x:f>P9*P32+P16*P33</x:f>
        <x:v>15760</x:v>
      </x:c>
      <x:c r="Q34" s="41" t="n">
        <x:f>Q9*Q32+Q16*Q33</x:f>
        <x:v>19040</x:v>
      </x:c>
      <x:c r="R34" s="41" t="n">
        <x:f>R9*R32+R16*R33</x:f>
        <x:v>21600</x:v>
      </x:c>
    </x:row>
    <x:row r="35" ht="20" customHeight="1">
      <x:c r="A35" s="2"/>
      <x:c r="B35" s="2"/>
      <x:c r="C35" s="48" t="str">
        <x:v>Marketing / online revenue</x:v>
      </x:c>
      <x:c r="D35" s="50"/>
      <x:c r="E35" s="50"/>
      <x:c r="F35" s="50"/>
      <x:c r="G35" s="52" t="n">
        <x:f>IF(AND(ISNUMBER('Assumptions'!G27),'Assumptions'!G27&gt;=0),'Assumptions'!G27,NA())</x:f>
        <x:v>0.12</x:v>
      </x:c>
      <x:c r="H35" s="52" t="n">
        <x:f>IF(AND(ISNUMBER('Assumptions'!H27),'Assumptions'!H27&gt;=0),'Assumptions'!H27,NA())</x:f>
        <x:v>0.12</x:v>
      </x:c>
      <x:c r="I35" s="52" t="n">
        <x:f>IF(AND(ISNUMBER('Assumptions'!I27),'Assumptions'!I27&gt;=0),'Assumptions'!I27,NA())</x:f>
        <x:v>0.12</x:v>
      </x:c>
      <x:c r="J35" s="52" t="n">
        <x:f>IF(AND(ISNUMBER('Assumptions'!J27),'Assumptions'!J27&gt;=0),'Assumptions'!J27,NA())</x:f>
        <x:v>0.12</x:v>
      </x:c>
      <x:c r="K35" s="52" t="n">
        <x:f>IF(AND(ISNUMBER('Assumptions'!K27),'Assumptions'!K27&gt;=0),'Assumptions'!K27,NA())</x:f>
        <x:v>0.12</x:v>
      </x:c>
      <x:c r="L35" s="52" t="n">
        <x:f>IF(AND(ISNUMBER('Assumptions'!L27),'Assumptions'!L27&gt;=0),'Assumptions'!L27,NA())</x:f>
        <x:v>0.12</x:v>
      </x:c>
      <x:c r="M35" s="52" t="n">
        <x:f>IF(AND(ISNUMBER('Assumptions'!M27),'Assumptions'!M27&gt;=0),'Assumptions'!M27,NA())</x:f>
        <x:v>0.12</x:v>
      </x:c>
      <x:c r="N35" s="52" t="n">
        <x:f>IF(AND(ISNUMBER('Assumptions'!N27),'Assumptions'!N27&gt;=0),'Assumptions'!N27,NA())</x:f>
        <x:v>0.12</x:v>
      </x:c>
      <x:c r="O35" s="52" t="n">
        <x:f>IF(AND(ISNUMBER('Assumptions'!O27),'Assumptions'!O27&gt;=0),'Assumptions'!O27,NA())</x:f>
        <x:v>0.12</x:v>
      </x:c>
      <x:c r="P35" s="52" t="n">
        <x:f>IF(AND(ISNUMBER('Assumptions'!P27),'Assumptions'!P27&gt;=0),'Assumptions'!P27,NA())</x:f>
        <x:v>0.12</x:v>
      </x:c>
      <x:c r="Q35" s="52" t="n">
        <x:f>IF(AND(ISNUMBER('Assumptions'!Q27),'Assumptions'!Q27&gt;=0),'Assumptions'!Q27,NA())</x:f>
        <x:v>0.12</x:v>
      </x:c>
      <x:c r="R35" s="52" t="n">
        <x:f>IF(AND(ISNUMBER('Assumptions'!R27),'Assumptions'!R27&gt;=0),'Assumptions'!R27,NA())</x:f>
        <x:v>0.12</x:v>
      </x:c>
    </x:row>
    <x:row r="36" ht="20" customHeight="1">
      <x:c r="A36" s="2"/>
      <x:c r="B36" s="2"/>
      <x:c r="C36" s="2" t="str">
        <x:v>Marketing expense</x:v>
      </x:c>
      <x:c r="D36" s="41" t="n">
        <x:f>SUM(G36:R36)</x:f>
        <x:v>171072.00000000003</x:v>
      </x:c>
      <x:c r="E36" s="41" t="n">
        <x:f>SUM(G36:L36)</x:f>
        <x:v>71596.8</x:v>
      </x:c>
      <x:c r="F36" s="39"/>
      <x:c r="G36" s="41" t="n">
        <x:f>G19*G35</x:f>
        <x:v>10137.6</x:v>
      </x:c>
      <x:c r="H36" s="41" t="n">
        <x:f>H19*H35</x:f>
        <x:v>10771.199999999999</x:v>
      </x:c>
      <x:c r="I36" s="41" t="n">
        <x:f>I19*I35</x:f>
        <x:v>12038.4</x:v>
      </x:c>
      <x:c r="J36" s="41" t="n">
        <x:f>J19*J35</x:f>
        <x:v>12672</x:v>
      </x:c>
      <x:c r="K36" s="41" t="n">
        <x:f>K19*K35</x:f>
        <x:v>12672</x:v>
      </x:c>
      <x:c r="L36" s="41" t="n">
        <x:f>L19*L35</x:f>
        <x:v>13305.6</x:v>
      </x:c>
      <x:c r="M36" s="41" t="n">
        <x:f>M19*M35</x:f>
        <x:v>12672</x:v>
      </x:c>
      <x:c r="N36" s="41" t="n">
        <x:f>N19*N35</x:f>
        <x:v>13305.6</x:v>
      </x:c>
      <x:c r="O36" s="41" t="n">
        <x:f>O19*O35</x:f>
        <x:v>14572.8</x:v>
      </x:c>
      <x:c r="P36" s="41" t="n">
        <x:f>P19*P35</x:f>
        <x:v>15840</x:v>
      </x:c>
      <x:c r="Q36" s="41" t="n">
        <x:f>Q19*Q35</x:f>
        <x:v>20275.2</x:v>
      </x:c>
      <x:c r="R36" s="41" t="n">
        <x:f>R19*R35</x:f>
        <x:v>22809.6</x:v>
      </x:c>
    </x:row>
    <x:row r="37" ht="20" customHeight="1">
      <x:c r="A37" s="2"/>
      <x:c r="B37" s="2"/>
      <x:c r="C37" s="2" t="str">
        <x:v>Fixed operating expenses</x:v>
      </x:c>
      <x:c r="D37" s="41" t="n">
        <x:f>SUM(G37:R37)</x:f>
        <x:v>156000</x:v>
      </x:c>
      <x:c r="E37" s="41" t="n">
        <x:f>SUM(G37:L37)</x:f>
        <x:v>78000</x:v>
      </x:c>
      <x:c r="F37" s="39"/>
      <x:c r="G37" s="40" t="n">
        <x:f>IF(AND(ISNUMBER('Assumptions'!G28),'Assumptions'!G28&gt;=0),'Assumptions'!G28,NA())</x:f>
        <x:v>13000</x:v>
      </x:c>
      <x:c r="H37" s="40" t="n">
        <x:f>IF(AND(ISNUMBER('Assumptions'!H28),'Assumptions'!H28&gt;=0),'Assumptions'!H28,NA())</x:f>
        <x:v>13000</x:v>
      </x:c>
      <x:c r="I37" s="40" t="n">
        <x:f>IF(AND(ISNUMBER('Assumptions'!I28),'Assumptions'!I28&gt;=0),'Assumptions'!I28,NA())</x:f>
        <x:v>13000</x:v>
      </x:c>
      <x:c r="J37" s="40" t="n">
        <x:f>IF(AND(ISNUMBER('Assumptions'!J28),'Assumptions'!J28&gt;=0),'Assumptions'!J28,NA())</x:f>
        <x:v>13000</x:v>
      </x:c>
      <x:c r="K37" s="40" t="n">
        <x:f>IF(AND(ISNUMBER('Assumptions'!K28),'Assumptions'!K28&gt;=0),'Assumptions'!K28,NA())</x:f>
        <x:v>13000</x:v>
      </x:c>
      <x:c r="L37" s="40" t="n">
        <x:f>IF(AND(ISNUMBER('Assumptions'!L28),'Assumptions'!L28&gt;=0),'Assumptions'!L28,NA())</x:f>
        <x:v>13000</x:v>
      </x:c>
      <x:c r="M37" s="40" t="n">
        <x:f>IF(AND(ISNUMBER('Assumptions'!M28),'Assumptions'!M28&gt;=0),'Assumptions'!M28,NA())</x:f>
        <x:v>13000</x:v>
      </x:c>
      <x:c r="N37" s="40" t="n">
        <x:f>IF(AND(ISNUMBER('Assumptions'!N28),'Assumptions'!N28&gt;=0),'Assumptions'!N28,NA())</x:f>
        <x:v>13000</x:v>
      </x:c>
      <x:c r="O37" s="40" t="n">
        <x:f>IF(AND(ISNUMBER('Assumptions'!O28),'Assumptions'!O28&gt;=0),'Assumptions'!O28,NA())</x:f>
        <x:v>13000</x:v>
      </x:c>
      <x:c r="P37" s="40" t="n">
        <x:f>IF(AND(ISNUMBER('Assumptions'!P28),'Assumptions'!P28&gt;=0),'Assumptions'!P28,NA())</x:f>
        <x:v>13000</x:v>
      </x:c>
      <x:c r="Q37" s="40" t="n">
        <x:f>IF(AND(ISNUMBER('Assumptions'!Q28),'Assumptions'!Q28&gt;=0),'Assumptions'!Q28,NA())</x:f>
        <x:v>13000</x:v>
      </x:c>
      <x:c r="R37" s="40" t="n">
        <x:f>IF(AND(ISNUMBER('Assumptions'!R28),'Assumptions'!R28&gt;=0),'Assumptions'!R28,NA())</x:f>
        <x:v>13000</x:v>
      </x:c>
    </x:row>
    <x:row r="38" ht="20" customHeight="1">
      <x:c r="A38" s="2"/>
      <x:c r="B38" s="2"/>
      <x:c r="C38" s="55" t="str">
        <x:v>Operating expenses</x:v>
      </x:c>
      <x:c r="D38" s="56" t="n">
        <x:f>SUM(G38:R38)</x:f>
        <x:v>1028771.9999999999</x:v>
      </x:c>
      <x:c r="E38" s="56" t="n">
        <x:f>SUM(G38:L38)</x:f>
        <x:v>488286.79999999993</x:v>
      </x:c>
      <x:c r="F38" s="39"/>
      <x:c r="G38" s="56" t="n">
        <x:f>SUM(G31,G34,G36,G37)</x:f>
        <x:v>77892.6</x:v>
      </x:c>
      <x:c r="H38" s="56" t="n">
        <x:f>SUM(H31,H34,H36,H37)</x:f>
        <x:v>78926.2</x:v>
      </x:c>
      <x:c r="I38" s="56" t="n">
        <x:f>SUM(I31,I34,I36,I37)</x:f>
        <x:v>81473.4</x:v>
      </x:c>
      <x:c r="J38" s="56" t="n">
        <x:f>SUM(J31,J34,J36,J37)</x:f>
        <x:v>82747</x:v>
      </x:c>
      <x:c r="K38" s="56" t="n">
        <x:f>SUM(K31,K34,K36,K37)</x:f>
        <x:v>82987</x:v>
      </x:c>
      <x:c r="L38" s="56" t="n">
        <x:f>SUM(L31,L34,L36,L37)</x:f>
        <x:v>84260.6</x:v>
      </x:c>
      <x:c r="M38" s="56" t="n">
        <x:f>SUM(M31,M34,M36,M37)</x:f>
        <x:v>82747</x:v>
      </x:c>
      <x:c r="N38" s="56" t="n">
        <x:f>SUM(N31,N34,N36,N37)</x:f>
        <x:v>84020.6</x:v>
      </x:c>
      <x:c r="O38" s="56" t="n">
        <x:f>SUM(O31,O34,O36,O37)</x:f>
        <x:v>86567.8</x:v>
      </x:c>
      <x:c r="P38" s="56" t="n">
        <x:f>SUM(P31,P34,P36,P37)</x:f>
        <x:v>88875</x:v>
      </x:c>
      <x:c r="Q38" s="56" t="n">
        <x:f>SUM(Q31,Q34,Q36,Q37)</x:f>
        <x:v>96590.2</x:v>
      </x:c>
      <x:c r="R38" s="56" t="n">
        <x:f>SUM(R31,R34,R36,R37)</x:f>
        <x:v>101684.6</x:v>
      </x:c>
    </x:row>
    <x:row r="39" ht="20" customHeight="1">
      <x:c r="A39" s="2"/>
      <x:c r="B39" s="2"/>
      <x:c r="C39" s="57" t="str">
        <x:v>EBITDA</x:v>
      </x:c>
      <x:c r="D39" s="58" t="n">
        <x:f>SUM(G39:R39)</x:f>
        <x:v>641628</x:v>
      </x:c>
      <x:c r="E39" s="58" t="n">
        <x:f>SUM(G39:L39)</x:f>
        <x:v>236673.19999999998</x:v>
      </x:c>
      <x:c r="F39" s="39"/>
      <x:c r="G39" s="58" t="n">
        <x:f>G25-G38</x:f>
        <x:v>26827.399999999994</x:v>
      </x:c>
      <x:c r="H39" s="58" t="n">
        <x:f>H25-H38</x:f>
        <x:v>28513.800000000003</x:v>
      </x:c>
      <x:c r="I39" s="58" t="n">
        <x:f>I25-I38</x:f>
        <x:v>38606.600000000006</x:v>
      </x:c>
      <x:c r="J39" s="58" t="n">
        <x:f>J25-J38</x:f>
        <x:v>43653</x:v>
      </x:c>
      <x:c r="K39" s="58" t="n">
        <x:f>K25-K38</x:f>
        <x:v>47013</x:v>
      </x:c>
      <x:c r="L39" s="58" t="n">
        <x:f>L25-L38</x:f>
        <x:v>52059.399999999994</x:v>
      </x:c>
      <x:c r="M39" s="58" t="n">
        <x:f>M25-M38</x:f>
        <x:v>43653</x:v>
      </x:c>
      <x:c r="N39" s="58" t="n">
        <x:f>N25-N38</x:f>
        <x:v>48699.399999999994</x:v>
      </x:c>
      <x:c r="O39" s="58" t="n">
        <x:f>O25-O38</x:f>
        <x:v>58792.2</x:v>
      </x:c>
      <x:c r="P39" s="58" t="n">
        <x:f>P25-P38</x:f>
        <x:v>65525</x:v>
      </x:c>
      <x:c r="Q39" s="58" t="n">
        <x:f>Q25-Q38</x:f>
        <x:v>84049.8</x:v>
      </x:c>
      <x:c r="R39" s="58" t="n">
        <x:f>R25-R38</x:f>
        <x:v>104235.4</x:v>
      </x:c>
    </x:row>
    <x:row r="40" ht="20" customHeight="1">
      <x:c r="A40" s="2"/>
      <x:c r="B40" s="2"/>
      <x:c r="C40" s="48" t="str">
        <x:v>EBITDA margin</x:v>
      </x:c>
      <x:c r="D40" s="49" t="n">
        <x:f>IF(D23=0,NA(),D39/D23)</x:f>
        <x:v>0.1636138310893513</x:v>
      </x:c>
      <x:c r="E40" s="49" t="n">
        <x:f>IF(E23=0,NA(),E39/E23)</x:f>
        <x:v>0.13838595752642902</x:v>
      </x:c>
      <x:c r="F40" s="50"/>
      <x:c r="G40" s="49" t="n">
        <x:f>IF(G23=0,NA(),G39/G23)</x:f>
        <x:v>0.10831476098191212</x:v>
      </x:c>
      <x:c r="H40" s="49" t="n">
        <x:f>IF(H23=0,NA(),H39/H23)</x:f>
        <x:v>0.11272058823529413</x:v>
      </x:c>
      <x:c r="I40" s="49" t="n">
        <x:f>IF(I23=0,NA(),I39/I23)</x:f>
        <x:v>0.13655418788907756</x:v>
      </x:c>
      <x:c r="J40" s="49" t="n">
        <x:f>IF(J23=0,NA(),J39/J23)</x:f>
        <x:v>0.1466834677419355</x:v>
      </x:c>
      <x:c r="K40" s="49" t="n">
        <x:f>IF(K23=0,NA(),K39/K23)</x:f>
        <x:v>0.153037109375</x:v>
      </x:c>
      <x:c r="L40" s="49" t="n">
        <x:f>IF(L23=0,NA(),L39/L23)</x:f>
        <x:v>0.16163499751614505</x:v>
      </x:c>
      <x:c r="M40" s="49" t="n">
        <x:f>IF(M23=0,NA(),M39/M23)</x:f>
        <x:v>0.1466834677419355</x:v>
      </x:c>
      <x:c r="N40" s="49" t="n">
        <x:f>IF(N23=0,NA(),N39/N23)</x:f>
        <x:v>0.1558480542754736</x:v>
      </x:c>
      <x:c r="O40" s="49" t="n">
        <x:f>IF(O23=0,NA(),O39/O23)</x:f>
        <x:v>0.17178646563814867</x:v>
      </x:c>
      <x:c r="P40" s="49" t="n">
        <x:f>IF(P23=0,NA(),P39/P23)</x:f>
        <x:v>0.18080849889624723</x:v>
      </x:c>
      <x:c r="Q40" s="49" t="n">
        <x:f>IF(Q23=0,NA(),Q39/Q23)</x:f>
        <x:v>0.20080705275229357</x:v>
      </x:c>
      <x:c r="R40" s="49" t="n">
        <x:f>IF(R23=0,NA(),R39/R23)</x:f>
        <x:v>0.21802920013386878</x:v>
      </x:c>
    </x:row>
    <x:row r="41" ht="20" customHeight="1">
      <x:c r="A41" s="2"/>
      <x:c r="B41" s="2"/>
      <x:c r="C41" s="2"/>
      <x:c r="D41" s="39"/>
      <x:c r="E41" s="39"/>
      <x:c r="F41" s="39"/>
      <x:c r="G41" s="39"/>
      <x:c r="H41" s="39"/>
      <x:c r="I41" s="39"/>
      <x:c r="J41" s="39"/>
      <x:c r="K41" s="39"/>
      <x:c r="L41" s="39"/>
      <x:c r="M41" s="39"/>
      <x:c r="N41" s="39"/>
      <x:c r="O41" s="39"/>
      <x:c r="P41" s="39"/>
      <x:c r="Q41" s="39"/>
      <x:c r="R41" s="39"/>
    </x:row>
    <x:row r="42" ht="24" customHeight="1">
      <x:c r="A42" s="2"/>
      <x:c r="B42" s="2"/>
      <x:c r="C42" s="11" t="str">
        <x:v>Actuals and active forecast</x:v>
      </x:c>
      <x:c r="D42" s="38"/>
      <x:c r="E42" s="38"/>
      <x:c r="F42" s="38"/>
      <x:c r="G42" s="38"/>
      <x:c r="H42" s="38"/>
      <x:c r="I42" s="38"/>
      <x:c r="J42" s="38"/>
      <x:c r="K42" s="38"/>
      <x:c r="L42" s="38"/>
      <x:c r="M42" s="38"/>
      <x:c r="N42" s="38"/>
      <x:c r="O42" s="38"/>
      <x:c r="P42" s="38"/>
      <x:c r="Q42" s="38"/>
      <x:c r="R42" s="38"/>
    </x:row>
    <x:row r="43" ht="20" customHeight="1">
      <x:c r="A43" s="2"/>
      <x:c r="B43" s="2"/>
      <x:c r="C43" s="2" t="str">
        <x:v>Wholesale units</x:v>
      </x:c>
      <x:c r="D43" s="41" t="n">
        <x:f>SUM(G43:R43)</x:f>
        <x:v>49676</x:v>
      </x:c>
      <x:c r="E43" s="41" t="n">
        <x:f>SUM(G43:L43)</x:f>
        <x:v>22028</x:v>
      </x:c>
      <x:c r="F43" s="39"/>
      <x:c r="G43" s="40" t="n">
        <x:f>IF(AND(COUNTIFS('Actuals'!$C$9:$C$44,G$7,'Actuals'!$D$9:$D$44,"Wholesale")=3,SUMIFS('Actuals'!$K$9:$K$44,'Actuals'!$C$9:$C$44,G$7,'Actuals'!$D$9:$D$44,"Wholesale")=3),SUMIFS('Actuals'!$F$9:$F$44,'Actuals'!$C$9:$C$44,G$7,'Actuals'!$D$9:$D$44,"Wholesale"),NA())</x:f>
        <x:v>3298</x:v>
      </x:c>
      <x:c r="H43" s="40" t="n">
        <x:f>IF(AND(COUNTIFS('Actuals'!$C$9:$C$44,H$7,'Actuals'!$D$9:$D$44,"Wholesale")=3,SUMIFS('Actuals'!$K$9:$K$44,'Actuals'!$C$9:$C$44,H$7,'Actuals'!$D$9:$D$44,"Wholesale")=3),SUMIFS('Actuals'!$F$9:$F$44,'Actuals'!$C$9:$C$44,H$7,'Actuals'!$D$9:$D$44,"Wholesale"),NA())</x:f>
        <x:v>3264</x:v>
      </x:c>
      <x:c r="I43" s="40" t="n">
        <x:f>IF(AND(COUNTIFS('Actuals'!$C$9:$C$44,I$7,'Actuals'!$D$9:$D$44,"Wholesale")=3,SUMIFS('Actuals'!$K$9:$K$44,'Actuals'!$C$9:$C$44,I$7,'Actuals'!$D$9:$D$44,"Wholesale")=3),SUMIFS('Actuals'!$F$9:$F$44,'Actuals'!$C$9:$C$44,I$7,'Actuals'!$D$9:$D$44,"Wholesale"),NA())</x:f>
        <x:v>3572</x:v>
      </x:c>
      <x:c r="J43" s="40" t="n">
        <x:f>IF(AND(COUNTIFS('Actuals'!$C$9:$C$44,J$7,'Actuals'!$D$9:$D$44,"Wholesale")=3,SUMIFS('Actuals'!$K$9:$K$44,'Actuals'!$C$9:$C$44,J$7,'Actuals'!$D$9:$D$44,"Wholesale")=3),SUMIFS('Actuals'!$F$9:$F$44,'Actuals'!$C$9:$C$44,J$7,'Actuals'!$D$9:$D$44,"Wholesale"),NA())</x:f>
        <x:v>3680</x:v>
      </x:c>
      <x:c r="K43" s="40" t="n">
        <x:f>IF(AND(COUNTIFS('Actuals'!$C$9:$C$44,K$7,'Actuals'!$D$9:$D$44,"Wholesale")=3,SUMIFS('Actuals'!$K$9:$K$44,'Actuals'!$C$9:$C$44,K$7,'Actuals'!$D$9:$D$44,"Wholesale")=3),SUMIFS('Actuals'!$F$9:$F$44,'Actuals'!$C$9:$C$44,K$7,'Actuals'!$D$9:$D$44,"Wholesale"),NA())</x:f>
        <x:v>3990</x:v>
      </x:c>
      <x:c r="L43" s="40" t="n">
        <x:f>IF(AND(COUNTIFS('Actuals'!$C$9:$C$44,L$7,'Actuals'!$D$9:$D$44,"Wholesale")=3,SUMIFS('Actuals'!$K$9:$K$44,'Actuals'!$C$9:$C$44,L$7,'Actuals'!$D$9:$D$44,"Wholesale")=3),SUMIFS('Actuals'!$F$9:$F$44,'Actuals'!$C$9:$C$44,L$7,'Actuals'!$D$9:$D$44,"Wholesale"),NA())</x:f>
        <x:v>4224</x:v>
      </x:c>
      <x:c r="M43" s="40" t="n">
        <x:f>ROUND(M9*'Assumptions'!M37,0)</x:f>
        <x:v>3840</x:v>
      </x:c>
      <x:c r="N43" s="40" t="n">
        <x:f>ROUND(N9*'Assumptions'!N37,0)</x:f>
        <x:v>4032</x:v>
      </x:c>
      <x:c r="O43" s="40" t="n">
        <x:f>ROUND(O9*'Assumptions'!O37,0)</x:f>
        <x:v>4416</x:v>
      </x:c>
      <x:c r="P43" s="40" t="n">
        <x:f>ROUND(P9*'Assumptions'!P37,0)</x:f>
        <x:v>4608</x:v>
      </x:c>
      <x:c r="Q43" s="40" t="n">
        <x:f>ROUND(Q9*'Assumptions'!Q37,0)</x:f>
        <x:v>4992</x:v>
      </x:c>
      <x:c r="R43" s="40" t="n">
        <x:f>ROUND(R9*'Assumptions'!R37,0)</x:f>
        <x:v>5760</x:v>
      </x:c>
    </x:row>
    <x:row r="44" ht="20" customHeight="1">
      <x:c r="A44" s="2"/>
      <x:c r="B44" s="2"/>
      <x:c r="C44" s="2" t="str">
        <x:v>Wholesale price / unit</x:v>
      </x:c>
      <x:c r="D44" s="43" t="n">
        <x:f>IF(D43=0,NA(),D46/D43)</x:f>
        <x:v>48.11294146066512</x:v>
      </x:c>
      <x:c r="E44" s="43" t="n">
        <x:f>IF(E43=0,NA(),E46/E43)</x:f>
        <x:v>47.35100417650263</x:v>
      </x:c>
      <x:c r="F44" s="44"/>
      <x:c r="G44" s="43" t="n">
        <x:f>G46/G43</x:f>
        <x:v>47.33050333535476</x:v>
      </x:c>
      <x:c r="H44" s="43" t="n">
        <x:f>H46/H43</x:f>
        <x:v>47.09673100490196</x:v>
      </x:c>
      <x:c r="I44" s="43" t="n">
        <x:f>I46/I43</x:f>
        <x:v>46.858236282194845</x:v>
      </x:c>
      <x:c r="J44" s="43" t="n">
        <x:f>J46/J43</x:f>
        <x:v>47.32434782608696</x:v>
      </x:c>
      <x:c r="K44" s="43" t="n">
        <x:f>K46/K43</x:f>
        <x:v>47.56190726817043</x:v>
      </x:c>
      <x:c r="L44" s="43" t="n">
        <x:f>L46/L43</x:f>
        <x:v>47.80420454545455</x:v>
      </x:c>
      <x:c r="M44" s="45" t="n">
        <x:f>M10*'Assumptions'!M42</x:f>
        <x:v>48.72</x:v>
      </x:c>
      <x:c r="N44" s="45" t="n">
        <x:f>N10*'Assumptions'!N42</x:f>
        <x:v>48.72</x:v>
      </x:c>
      <x:c r="O44" s="45" t="n">
        <x:f>O10*'Assumptions'!O42</x:f>
        <x:v>48.72</x:v>
      </x:c>
      <x:c r="P44" s="45" t="n">
        <x:f>P10*'Assumptions'!P42</x:f>
        <x:v>48.72</x:v>
      </x:c>
      <x:c r="Q44" s="45" t="n">
        <x:f>Q10*'Assumptions'!Q42</x:f>
        <x:v>48.72</x:v>
      </x:c>
      <x:c r="R44" s="45" t="n">
        <x:f>R10*'Assumptions'!R42</x:f>
        <x:v>48.72</x:v>
      </x:c>
    </x:row>
    <x:row r="45" ht="20" customHeight="1">
      <x:c r="A45" s="2"/>
      <x:c r="B45" s="2"/>
      <x:c r="C45" s="2" t="str">
        <x:v>Wholesale cost / unit</x:v>
      </x:c>
      <x:c r="D45" s="43" t="n">
        <x:f>IF(D43=0,NA(),D47/D43)</x:f>
        <x:v>30.925581769868753</x:v>
      </x:c>
      <x:c r="E45" s="43" t="n">
        <x:f>IF(E43=0,NA(),E47/E43)</x:f>
        <x:v>30.95769021245688</x:v>
      </x:c>
      <x:c r="F45" s="44"/>
      <x:c r="G45" s="43" t="n">
        <x:f>G47/G43</x:f>
        <x:v>30.28079745300182</x:v>
      </x:c>
      <x:c r="H45" s="43" t="n">
        <x:f>H47/H43</x:f>
        <x:v>30.430291053921568</x:v>
      </x:c>
      <x:c r="I45" s="43" t="n">
        <x:f>I47/I43</x:f>
        <x:v>30.873107502799552</x:v>
      </x:c>
      <x:c r="J45" s="43" t="n">
        <x:f>J47/J43</x:f>
        <x:v>31.31479347826087</x:v>
      </x:c>
      <x:c r="K45" s="43" t="n">
        <x:f>K47/K43</x:f>
        <x:v>31.46616290726817</x:v>
      </x:c>
      <x:c r="L45" s="43" t="n">
        <x:f>L47/L43</x:f>
        <x:v>31.173837594696973</x:v>
      </x:c>
      <x:c r="M45" s="45" t="n">
        <x:f>M11*'Assumptions'!M47</x:f>
        <x:v>30.900000000000002</x:v>
      </x:c>
      <x:c r="N45" s="45" t="n">
        <x:f>N11*'Assumptions'!N47</x:f>
        <x:v>30.900000000000002</x:v>
      </x:c>
      <x:c r="O45" s="45" t="n">
        <x:f>O11*'Assumptions'!O47</x:f>
        <x:v>30.900000000000002</x:v>
      </x:c>
      <x:c r="P45" s="45" t="n">
        <x:f>P11*'Assumptions'!P47</x:f>
        <x:v>30.900000000000002</x:v>
      </x:c>
      <x:c r="Q45" s="45" t="n">
        <x:f>Q11*'Assumptions'!Q47</x:f>
        <x:v>30.900000000000002</x:v>
      </x:c>
      <x:c r="R45" s="45" t="n">
        <x:f>R11*'Assumptions'!R47</x:f>
        <x:v>30.900000000000002</x:v>
      </x:c>
    </x:row>
    <x:row r="46" ht="20" customHeight="1">
      <x:c r="A46" s="2"/>
      <x:c r="B46" s="2"/>
      <x:c r="C46" s="2" t="str">
        <x:v>Wholesale revenue</x:v>
      </x:c>
      <x:c r="D46" s="41" t="n">
        <x:f>SUM(G46:R46)</x:f>
        <x:v>2390058.4800000004</x:v>
      </x:c>
      <x:c r="E46" s="41" t="n">
        <x:f>SUM(G46:L46)</x:f>
        <x:v>1043047.9199999999</x:v>
      </x:c>
      <x:c r="F46" s="39"/>
      <x:c r="G46" s="40" t="n">
        <x:f>IF(AND(COUNTIFS('Actuals'!$C$9:$C$44,G$7,'Actuals'!$D$9:$D$44,"Wholesale")=3,SUMIFS('Actuals'!$K$9:$K$44,'Actuals'!$C$9:$C$44,G$7,'Actuals'!$D$9:$D$44,"Wholesale")=3),SUMIFS('Actuals'!$I$9:$I$44,'Actuals'!$C$9:$C$44,G$7,'Actuals'!$D$9:$D$44,"Wholesale"),NA())</x:f>
        <x:v>156096</x:v>
      </x:c>
      <x:c r="H46" s="40" t="n">
        <x:f>IF(AND(COUNTIFS('Actuals'!$C$9:$C$44,H$7,'Actuals'!$D$9:$D$44,"Wholesale")=3,SUMIFS('Actuals'!$K$9:$K$44,'Actuals'!$C$9:$C$44,H$7,'Actuals'!$D$9:$D$44,"Wholesale")=3),SUMIFS('Actuals'!$I$9:$I$44,'Actuals'!$C$9:$C$44,H$7,'Actuals'!$D$9:$D$44,"Wholesale"),NA())</x:f>
        <x:v>153723.73</x:v>
      </x:c>
      <x:c r="I46" s="40" t="n">
        <x:f>IF(AND(COUNTIFS('Actuals'!$C$9:$C$44,I$7,'Actuals'!$D$9:$D$44,"Wholesale")=3,SUMIFS('Actuals'!$K$9:$K$44,'Actuals'!$C$9:$C$44,I$7,'Actuals'!$D$9:$D$44,"Wholesale")=3),SUMIFS('Actuals'!$I$9:$I$44,'Actuals'!$C$9:$C$44,I$7,'Actuals'!$D$9:$D$44,"Wholesale"),NA())</x:f>
        <x:v>167377.62</x:v>
      </x:c>
      <x:c r="J46" s="40" t="n">
        <x:f>IF(AND(COUNTIFS('Actuals'!$C$9:$C$44,J$7,'Actuals'!$D$9:$D$44,"Wholesale")=3,SUMIFS('Actuals'!$K$9:$K$44,'Actuals'!$C$9:$C$44,J$7,'Actuals'!$D$9:$D$44,"Wholesale")=3),SUMIFS('Actuals'!$I$9:$I$44,'Actuals'!$C$9:$C$44,J$7,'Actuals'!$D$9:$D$44,"Wholesale"),NA())</x:f>
        <x:v>174153.6</x:v>
      </x:c>
      <x:c r="K46" s="40" t="n">
        <x:f>IF(AND(COUNTIFS('Actuals'!$C$9:$C$44,K$7,'Actuals'!$D$9:$D$44,"Wholesale")=3,SUMIFS('Actuals'!$K$9:$K$44,'Actuals'!$C$9:$C$44,K$7,'Actuals'!$D$9:$D$44,"Wholesale")=3),SUMIFS('Actuals'!$I$9:$I$44,'Actuals'!$C$9:$C$44,K$7,'Actuals'!$D$9:$D$44,"Wholesale"),NA())</x:f>
        <x:v>189772.01</x:v>
      </x:c>
      <x:c r="L46" s="40" t="n">
        <x:f>IF(AND(COUNTIFS('Actuals'!$C$9:$C$44,L$7,'Actuals'!$D$9:$D$44,"Wholesale")=3,SUMIFS('Actuals'!$K$9:$K$44,'Actuals'!$C$9:$C$44,L$7,'Actuals'!$D$9:$D$44,"Wholesale")=3),SUMIFS('Actuals'!$I$9:$I$44,'Actuals'!$C$9:$C$44,L$7,'Actuals'!$D$9:$D$44,"Wholesale"),NA())</x:f>
        <x:v>201924.96000000002</x:v>
      </x:c>
      <x:c r="M46" s="41" t="n">
        <x:f>M43*M44</x:f>
        <x:v>187084.8</x:v>
      </x:c>
      <x:c r="N46" s="41" t="n">
        <x:f>N43*N44</x:f>
        <x:v>196439.04</x:v>
      </x:c>
      <x:c r="O46" s="41" t="n">
        <x:f>O43*O44</x:f>
        <x:v>215147.52</x:v>
      </x:c>
      <x:c r="P46" s="41" t="n">
        <x:f>P43*P44</x:f>
        <x:v>224501.76</x:v>
      </x:c>
      <x:c r="Q46" s="41" t="n">
        <x:f>Q43*Q44</x:f>
        <x:v>243210.24</x:v>
      </x:c>
      <x:c r="R46" s="41" t="n">
        <x:f>R43*R44</x:f>
        <x:v>280627.2</x:v>
      </x:c>
    </x:row>
    <x:row r="47" ht="20" customHeight="1">
      <x:c r="A47" s="2"/>
      <x:c r="B47" s="2"/>
      <x:c r="C47" s="2" t="str">
        <x:v>Wholesale COGS</x:v>
      </x:c>
      <x:c r="D47" s="41" t="n">
        <x:f>SUM(G47:R47)</x:f>
        <x:v>1536259.2000000002</x:v>
      </x:c>
      <x:c r="E47" s="41" t="n">
        <x:f>SUM(G47:L47)</x:f>
        <x:v>681936.0000000001</x:v>
      </x:c>
      <x:c r="F47" s="39"/>
      <x:c r="G47" s="40" t="n">
        <x:f>IF(AND(COUNTIFS('Actuals'!$C$9:$C$44,G$7,'Actuals'!$D$9:$D$44,"Wholesale")=3,SUMIFS('Actuals'!$K$9:$K$44,'Actuals'!$C$9:$C$44,G$7,'Actuals'!$D$9:$D$44,"Wholesale")=3),SUMIFS('Actuals'!$J$9:$J$44,'Actuals'!$C$9:$C$44,G$7,'Actuals'!$D$9:$D$44,"Wholesale"),NA())</x:f>
        <x:v>99866.07</x:v>
      </x:c>
      <x:c r="H47" s="40" t="n">
        <x:f>IF(AND(COUNTIFS('Actuals'!$C$9:$C$44,H$7,'Actuals'!$D$9:$D$44,"Wholesale")=3,SUMIFS('Actuals'!$K$9:$K$44,'Actuals'!$C$9:$C$44,H$7,'Actuals'!$D$9:$D$44,"Wholesale")=3),SUMIFS('Actuals'!$J$9:$J$44,'Actuals'!$C$9:$C$44,H$7,'Actuals'!$D$9:$D$44,"Wholesale"),NA())</x:f>
        <x:v>99324.47</x:v>
      </x:c>
      <x:c r="I47" s="40" t="n">
        <x:f>IF(AND(COUNTIFS('Actuals'!$C$9:$C$44,I$7,'Actuals'!$D$9:$D$44,"Wholesale")=3,SUMIFS('Actuals'!$K$9:$K$44,'Actuals'!$C$9:$C$44,I$7,'Actuals'!$D$9:$D$44,"Wholesale")=3),SUMIFS('Actuals'!$J$9:$J$44,'Actuals'!$C$9:$C$44,I$7,'Actuals'!$D$9:$D$44,"Wholesale"),NA())</x:f>
        <x:v>110278.74</x:v>
      </x:c>
      <x:c r="J47" s="40" t="n">
        <x:f>IF(AND(COUNTIFS('Actuals'!$C$9:$C$44,J$7,'Actuals'!$D$9:$D$44,"Wholesale")=3,SUMIFS('Actuals'!$K$9:$K$44,'Actuals'!$C$9:$C$44,J$7,'Actuals'!$D$9:$D$44,"Wholesale")=3),SUMIFS('Actuals'!$J$9:$J$44,'Actuals'!$C$9:$C$44,J$7,'Actuals'!$D$9:$D$44,"Wholesale"),NA())</x:f>
        <x:v>115238.44</x:v>
      </x:c>
      <x:c r="K47" s="40" t="n">
        <x:f>IF(AND(COUNTIFS('Actuals'!$C$9:$C$44,K$7,'Actuals'!$D$9:$D$44,"Wholesale")=3,SUMIFS('Actuals'!$K$9:$K$44,'Actuals'!$C$9:$C$44,K$7,'Actuals'!$D$9:$D$44,"Wholesale")=3),SUMIFS('Actuals'!$J$9:$J$44,'Actuals'!$C$9:$C$44,K$7,'Actuals'!$D$9:$D$44,"Wholesale"),NA())</x:f>
        <x:v>125549.99</x:v>
      </x:c>
      <x:c r="L47" s="40" t="n">
        <x:f>IF(AND(COUNTIFS('Actuals'!$C$9:$C$44,L$7,'Actuals'!$D$9:$D$44,"Wholesale")=3,SUMIFS('Actuals'!$K$9:$K$44,'Actuals'!$C$9:$C$44,L$7,'Actuals'!$D$9:$D$44,"Wholesale")=3),SUMIFS('Actuals'!$J$9:$J$44,'Actuals'!$C$9:$C$44,L$7,'Actuals'!$D$9:$D$44,"Wholesale"),NA())</x:f>
        <x:v>131678.29</x:v>
      </x:c>
      <x:c r="M47" s="41" t="n">
        <x:f>M43*M45</x:f>
        <x:v>118656.00000000001</x:v>
      </x:c>
      <x:c r="N47" s="41" t="n">
        <x:f>N43*N45</x:f>
        <x:v>124588.8</x:v>
      </x:c>
      <x:c r="O47" s="41" t="n">
        <x:f>O43*O45</x:f>
        <x:v>136454.40000000002</x:v>
      </x:c>
      <x:c r="P47" s="41" t="n">
        <x:f>P43*P45</x:f>
        <x:v>142387.2</x:v>
      </x:c>
      <x:c r="Q47" s="41" t="n">
        <x:f>Q43*Q45</x:f>
        <x:v>154252.80000000002</x:v>
      </x:c>
      <x:c r="R47" s="41" t="n">
        <x:f>R43*R45</x:f>
        <x:v>177984</x:v>
      </x:c>
    </x:row>
    <x:row r="48" ht="20" customHeight="1">
      <x:c r="A48" s="2"/>
      <x:c r="B48" s="2"/>
      <x:c r="C48" s="2" t="str">
        <x:v>Wholesale gross profit</x:v>
      </x:c>
      <x:c r="D48" s="41" t="n">
        <x:f>SUM(G48:R48)</x:f>
        <x:v>853799.2799999998</x:v>
      </x:c>
      <x:c r="E48" s="41" t="n">
        <x:f>SUM(G48:L48)</x:f>
        <x:v>361111.92000000004</x:v>
      </x:c>
      <x:c r="F48" s="39"/>
      <x:c r="G48" s="41" t="n">
        <x:f>G46-G47</x:f>
        <x:v>56229.92999999999</x:v>
      </x:c>
      <x:c r="H48" s="41" t="n">
        <x:f>H46-H47</x:f>
        <x:v>54399.26000000001</x:v>
      </x:c>
      <x:c r="I48" s="41" t="n">
        <x:f>I46-I47</x:f>
        <x:v>57098.87999999999</x:v>
      </x:c>
      <x:c r="J48" s="41" t="n">
        <x:f>J46-J47</x:f>
        <x:v>58915.16</x:v>
      </x:c>
      <x:c r="K48" s="41" t="n">
        <x:f>K46-K47</x:f>
        <x:v>64222.020000000004</x:v>
      </x:c>
      <x:c r="L48" s="41" t="n">
        <x:f>L46-L47</x:f>
        <x:v>70246.67000000001</x:v>
      </x:c>
      <x:c r="M48" s="41" t="n">
        <x:f>M46-M47</x:f>
        <x:v>68428.79999999997</x:v>
      </x:c>
      <x:c r="N48" s="41" t="n">
        <x:f>N46-N47</x:f>
        <x:v>71850.24</x:v>
      </x:c>
      <x:c r="O48" s="41" t="n">
        <x:f>O46-O47</x:f>
        <x:v>78693.11999999997</x:v>
      </x:c>
      <x:c r="P48" s="41" t="n">
        <x:f>P46-P47</x:f>
        <x:v>82114.56</x:v>
      </x:c>
      <x:c r="Q48" s="41" t="n">
        <x:f>Q46-Q47</x:f>
        <x:v>88957.43999999997</x:v>
      </x:c>
      <x:c r="R48" s="41" t="n">
        <x:f>R46-R47</x:f>
        <x:v>102643.20000000001</x:v>
      </x:c>
    </x:row>
    <x:row r="49" ht="20" customHeight="1">
      <x:c r="A49" s="2"/>
      <x:c r="B49" s="2"/>
      <x:c r="C49" s="2"/>
      <x:c r="D49" s="39"/>
      <x:c r="E49" s="39"/>
      <x:c r="F49" s="39"/>
      <x:c r="G49" s="39"/>
      <x:c r="H49" s="39"/>
      <x:c r="I49" s="39"/>
      <x:c r="J49" s="39"/>
      <x:c r="K49" s="39"/>
      <x:c r="L49" s="39"/>
      <x:c r="M49" s="39"/>
      <x:c r="N49" s="39"/>
      <x:c r="O49" s="39"/>
      <x:c r="P49" s="39"/>
      <x:c r="Q49" s="39"/>
      <x:c r="R49" s="39"/>
    </x:row>
    <x:row r="50" ht="20" customHeight="1">
      <x:c r="A50" s="2"/>
      <x:c r="B50" s="2"/>
      <x:c r="C50" s="2" t="str">
        <x:v>Online units</x:v>
      </x:c>
      <x:c r="D50" s="41" t="n">
        <x:f>SUM(G50:R50)</x:f>
        <x:v>23576</x:v>
      </x:c>
      <x:c r="E50" s="41" t="n">
        <x:f>SUM(G50:L50)</x:f>
        <x:v>10012</x:v>
      </x:c>
      <x:c r="F50" s="39"/>
      <x:c r="G50" s="40" t="n">
        <x:f>IF(AND(COUNTIFS('Actuals'!$C$9:$C$44,G$7,'Actuals'!$D$9:$D$44,"Online")=3,SUMIFS('Actuals'!$K$9:$K$44,'Actuals'!$C$9:$C$44,G$7,'Actuals'!$D$9:$D$44,"Online")=3),SUMIFS('Actuals'!$F$9:$F$44,'Actuals'!$C$9:$C$44,G$7,'Actuals'!$D$9:$D$44,"Online"),NA())</x:f>
        <x:v>1357</x:v>
      </x:c>
      <x:c r="H50" s="40" t="n">
        <x:f>IF(AND(COUNTIFS('Actuals'!$C$9:$C$44,H$7,'Actuals'!$D$9:$D$44,"Online")=3,SUMIFS('Actuals'!$K$9:$K$44,'Actuals'!$C$9:$C$44,H$7,'Actuals'!$D$9:$D$44,"Online")=3),SUMIFS('Actuals'!$F$9:$F$44,'Actuals'!$C$9:$C$44,H$7,'Actuals'!$D$9:$D$44,"Online"),NA())</x:f>
        <x:v>1469</x:v>
      </x:c>
      <x:c r="I50" s="40" t="n">
        <x:f>IF(AND(COUNTIFS('Actuals'!$C$9:$C$44,I$7,'Actuals'!$D$9:$D$44,"Online")=3,SUMIFS('Actuals'!$K$9:$K$44,'Actuals'!$C$9:$C$44,I$7,'Actuals'!$D$9:$D$44,"Online")=3),SUMIFS('Actuals'!$F$9:$F$44,'Actuals'!$C$9:$C$44,I$7,'Actuals'!$D$9:$D$44,"Online"),NA())</x:f>
        <x:v>1672</x:v>
      </x:c>
      <x:c r="J50" s="40" t="n">
        <x:f>IF(AND(COUNTIFS('Actuals'!$C$9:$C$44,J$7,'Actuals'!$D$9:$D$44,"Online")=3,SUMIFS('Actuals'!$K$9:$K$44,'Actuals'!$C$9:$C$44,J$7,'Actuals'!$D$9:$D$44,"Online")=3),SUMIFS('Actuals'!$F$9:$F$44,'Actuals'!$C$9:$C$44,J$7,'Actuals'!$D$9:$D$44,"Online"),NA())</x:f>
        <x:v>1824</x:v>
      </x:c>
      <x:c r="K50" s="40" t="n">
        <x:f>IF(AND(COUNTIFS('Actuals'!$C$9:$C$44,K$7,'Actuals'!$D$9:$D$44,"Online")=3,SUMIFS('Actuals'!$K$9:$K$44,'Actuals'!$C$9:$C$44,K$7,'Actuals'!$D$9:$D$44,"Online")=3),SUMIFS('Actuals'!$F$9:$F$44,'Actuals'!$C$9:$C$44,K$7,'Actuals'!$D$9:$D$44,"Online"),NA())</x:f>
        <x:v>1808</x:v>
      </x:c>
      <x:c r="L50" s="40" t="n">
        <x:f>IF(AND(COUNTIFS('Actuals'!$C$9:$C$44,L$7,'Actuals'!$D$9:$D$44,"Online")=3,SUMIFS('Actuals'!$K$9:$K$44,'Actuals'!$C$9:$C$44,L$7,'Actuals'!$D$9:$D$44,"Online")=3),SUMIFS('Actuals'!$F$9:$F$44,'Actuals'!$C$9:$C$44,L$7,'Actuals'!$D$9:$D$44,"Online"),NA())</x:f>
        <x:v>1882</x:v>
      </x:c>
      <x:c r="M50" s="40" t="n">
        <x:f>ROUND(M16*'Assumptions'!M52,0)</x:f>
        <x:v>1728</x:v>
      </x:c>
      <x:c r="N50" s="40" t="n">
        <x:f>ROUND(N16*'Assumptions'!N52,0)</x:f>
        <x:v>1814</x:v>
      </x:c>
      <x:c r="O50" s="40" t="n">
        <x:f>ROUND(O16*'Assumptions'!O52,0)</x:f>
        <x:v>1987</x:v>
      </x:c>
      <x:c r="P50" s="40" t="n">
        <x:f>ROUND(P16*'Assumptions'!P52,0)</x:f>
        <x:v>2160</x:v>
      </x:c>
      <x:c r="Q50" s="40" t="n">
        <x:f>ROUND(Q16*'Assumptions'!Q52,0)</x:f>
        <x:v>2765</x:v>
      </x:c>
      <x:c r="R50" s="40" t="n">
        <x:f>ROUND(R16*'Assumptions'!R52,0)</x:f>
        <x:v>3110</x:v>
      </x:c>
    </x:row>
    <x:row r="51" ht="20" customHeight="1">
      <x:c r="A51" s="2"/>
      <x:c r="B51" s="2"/>
      <x:c r="C51" s="2" t="str">
        <x:v>Online price / unit</x:v>
      </x:c>
      <x:c r="D51" s="43" t="n">
        <x:f>IF(D50=0,NA(),D53/D50)</x:f>
        <x:v>64.76888021717001</x:v>
      </x:c>
      <x:c r="E51" s="43" t="n">
        <x:f>IF(E50=0,NA(),E53/E50)</x:f>
        <x:v>63.99514182980425</x:v>
      </x:c>
      <x:c r="F51" s="44"/>
      <x:c r="G51" s="43" t="n">
        <x:f>G53/G50</x:f>
        <x:v>64.68988209285187</x:v>
      </x:c>
      <x:c r="H51" s="43" t="n">
        <x:f>H53/H50</x:f>
        <x:v>64.36435670524166</x:v>
      </x:c>
      <x:c r="I51" s="43" t="n">
        <x:f>I53/I50</x:f>
        <x:v>64.03811004784689</x:v>
      </x:c>
      <x:c r="J51" s="43" t="n">
        <x:f>J53/J50</x:f>
        <x:v>63.3796600877193</x:v>
      </x:c>
      <x:c r="K51" s="43" t="n">
        <x:f>K53/K50</x:f>
        <x:v>63.705149336283185</x:v>
      </x:c>
      <x:c r="L51" s="43" t="n">
        <x:f>L53/L50</x:f>
        <x:v>64.04294367693943</x:v>
      </x:c>
      <x:c r="M51" s="45" t="n">
        <x:f>M17*'Assumptions'!M57</x:f>
        <x:v>65.34</x:v>
      </x:c>
      <x:c r="N51" s="45" t="n">
        <x:f>N17*'Assumptions'!N57</x:f>
        <x:v>65.34</x:v>
      </x:c>
      <x:c r="O51" s="45" t="n">
        <x:f>O17*'Assumptions'!O57</x:f>
        <x:v>65.34</x:v>
      </x:c>
      <x:c r="P51" s="45" t="n">
        <x:f>P17*'Assumptions'!P57</x:f>
        <x:v>65.34</x:v>
      </x:c>
      <x:c r="Q51" s="45" t="n">
        <x:f>Q17*'Assumptions'!Q57</x:f>
        <x:v>65.34</x:v>
      </x:c>
      <x:c r="R51" s="45" t="n">
        <x:f>R17*'Assumptions'!R57</x:f>
        <x:v>65.34</x:v>
      </x:c>
    </x:row>
    <x:row r="52" ht="20" customHeight="1">
      <x:c r="A52" s="2"/>
      <x:c r="B52" s="2"/>
      <x:c r="C52" s="2" t="str">
        <x:v>Online cost / unit</x:v>
      </x:c>
      <x:c r="D52" s="43" t="n">
        <x:f>IF(D50=0,NA(),D54/D50)</x:f>
        <x:v>32.5774177129284</x:v>
      </x:c>
      <x:c r="E52" s="43" t="n">
        <x:f>IF(E50=0,NA(),E54/E50)</x:f>
        <x:v>32.49263284059129</x:v>
      </x:c>
      <x:c r="F52" s="44"/>
      <x:c r="G52" s="43" t="n">
        <x:f>G54/G50</x:f>
        <x:v>31.934399410464255</x:v>
      </x:c>
      <x:c r="H52" s="43" t="n">
        <x:f>H54/H50</x:f>
        <x:v>32.248822328114365</x:v>
      </x:c>
      <x:c r="I52" s="43" t="n">
        <x:f>I54/I50</x:f>
        <x:v>32.407655502392345</x:v>
      </x:c>
      <x:c r="J52" s="43" t="n">
        <x:f>J54/J50</x:f>
        <x:v>32.87835526315789</x:v>
      </x:c>
      <x:c r="K52" s="43" t="n">
        <x:f>K54/K50</x:f>
        <x:v>32.72089601769912</x:v>
      </x:c>
      <x:c r="L52" s="43" t="n">
        <x:f>L54/L50</x:f>
        <x:v>32.567821466524975</x:v>
      </x:c>
      <x:c r="M52" s="45" t="n">
        <x:f>M18*'Assumptions'!M62</x:f>
        <x:v>32.64</x:v>
      </x:c>
      <x:c r="N52" s="45" t="n">
        <x:f>N18*'Assumptions'!N62</x:f>
        <x:v>32.64</x:v>
      </x:c>
      <x:c r="O52" s="45" t="n">
        <x:f>O18*'Assumptions'!O62</x:f>
        <x:v>32.64</x:v>
      </x:c>
      <x:c r="P52" s="45" t="n">
        <x:f>P18*'Assumptions'!P62</x:f>
        <x:v>32.64</x:v>
      </x:c>
      <x:c r="Q52" s="45" t="n">
        <x:f>Q18*'Assumptions'!Q62</x:f>
        <x:v>32.64</x:v>
      </x:c>
      <x:c r="R52" s="45" t="n">
        <x:f>R18*'Assumptions'!R62</x:f>
        <x:v>32.64</x:v>
      </x:c>
    </x:row>
    <x:row r="53" ht="20" customHeight="1">
      <x:c r="A53" s="2"/>
      <x:c r="B53" s="2"/>
      <x:c r="C53" s="2" t="str">
        <x:v>Online revenue</x:v>
      </x:c>
      <x:c r="D53" s="41" t="n">
        <x:f>SUM(G53:R53)</x:f>
        <x:v>1526991.12</x:v>
      </x:c>
      <x:c r="E53" s="41" t="n">
        <x:f>SUM(G53:L53)</x:f>
        <x:v>640719.3600000001</x:v>
      </x:c>
      <x:c r="F53" s="39"/>
      <x:c r="G53" s="40" t="n">
        <x:f>IF(AND(COUNTIFS('Actuals'!$C$9:$C$44,G$7,'Actuals'!$D$9:$D$44,"Online")=3,SUMIFS('Actuals'!$K$9:$K$44,'Actuals'!$C$9:$C$44,G$7,'Actuals'!$D$9:$D$44,"Online")=3),SUMIFS('Actuals'!$I$9:$I$44,'Actuals'!$C$9:$C$44,G$7,'Actuals'!$D$9:$D$44,"Online"),NA())</x:f>
        <x:v>87784.17</x:v>
      </x:c>
      <x:c r="H53" s="40" t="n">
        <x:f>IF(AND(COUNTIFS('Actuals'!$C$9:$C$44,H$7,'Actuals'!$D$9:$D$44,"Online")=3,SUMIFS('Actuals'!$K$9:$K$44,'Actuals'!$C$9:$C$44,H$7,'Actuals'!$D$9:$D$44,"Online")=3),SUMIFS('Actuals'!$I$9:$I$44,'Actuals'!$C$9:$C$44,H$7,'Actuals'!$D$9:$D$44,"Online"),NA())</x:f>
        <x:v>94551.23999999999</x:v>
      </x:c>
      <x:c r="I53" s="40" t="n">
        <x:f>IF(AND(COUNTIFS('Actuals'!$C$9:$C$44,I$7,'Actuals'!$D$9:$D$44,"Online")=3,SUMIFS('Actuals'!$K$9:$K$44,'Actuals'!$C$9:$C$44,I$7,'Actuals'!$D$9:$D$44,"Online")=3),SUMIFS('Actuals'!$I$9:$I$44,'Actuals'!$C$9:$C$44,I$7,'Actuals'!$D$9:$D$44,"Online"),NA())</x:f>
        <x:v>107071.72</x:v>
      </x:c>
      <x:c r="J53" s="40" t="n">
        <x:f>IF(AND(COUNTIFS('Actuals'!$C$9:$C$44,J$7,'Actuals'!$D$9:$D$44,"Online")=3,SUMIFS('Actuals'!$K$9:$K$44,'Actuals'!$C$9:$C$44,J$7,'Actuals'!$D$9:$D$44,"Online")=3),SUMIFS('Actuals'!$I$9:$I$44,'Actuals'!$C$9:$C$44,J$7,'Actuals'!$D$9:$D$44,"Online"),NA())</x:f>
        <x:v>115604.5</x:v>
      </x:c>
      <x:c r="K53" s="40" t="n">
        <x:f>IF(AND(COUNTIFS('Actuals'!$C$9:$C$44,K$7,'Actuals'!$D$9:$D$44,"Online")=3,SUMIFS('Actuals'!$K$9:$K$44,'Actuals'!$C$9:$C$44,K$7,'Actuals'!$D$9:$D$44,"Online")=3),SUMIFS('Actuals'!$I$9:$I$44,'Actuals'!$C$9:$C$44,K$7,'Actuals'!$D$9:$D$44,"Online"),NA())</x:f>
        <x:v>115178.91</x:v>
      </x:c>
      <x:c r="L53" s="40" t="n">
        <x:f>IF(AND(COUNTIFS('Actuals'!$C$9:$C$44,L$7,'Actuals'!$D$9:$D$44,"Online")=3,SUMIFS('Actuals'!$K$9:$K$44,'Actuals'!$C$9:$C$44,L$7,'Actuals'!$D$9:$D$44,"Online")=3),SUMIFS('Actuals'!$I$9:$I$44,'Actuals'!$C$9:$C$44,L$7,'Actuals'!$D$9:$D$44,"Online"),NA())</x:f>
        <x:v>120528.82</x:v>
      </x:c>
      <x:c r="M53" s="41" t="n">
        <x:f>M50*M51</x:f>
        <x:v>112907.52</x:v>
      </x:c>
      <x:c r="N53" s="41" t="n">
        <x:f>N50*N51</x:f>
        <x:v>118526.76000000001</x:v>
      </x:c>
      <x:c r="O53" s="41" t="n">
        <x:f>O50*O51</x:f>
        <x:v>129830.58</x:v>
      </x:c>
      <x:c r="P53" s="41" t="n">
        <x:f>P50*P51</x:f>
        <x:v>141134.4</x:v>
      </x:c>
      <x:c r="Q53" s="41" t="n">
        <x:f>Q50*Q51</x:f>
        <x:v>180665.1</x:v>
      </x:c>
      <x:c r="R53" s="41" t="n">
        <x:f>R50*R51</x:f>
        <x:v>203207.40000000002</x:v>
      </x:c>
    </x:row>
    <x:row r="54" ht="20" customHeight="1">
      <x:c r="A54" s="2"/>
      <x:c r="B54" s="2"/>
      <x:c r="C54" s="2" t="str">
        <x:v>Online COGS</x:v>
      </x:c>
      <x:c r="D54" s="41" t="n">
        <x:f>SUM(G54:R54)</x:f>
        <x:v>768045.2</x:v>
      </x:c>
      <x:c r="E54" s="41" t="n">
        <x:f>SUM(G54:L54)</x:f>
        <x:v>325316.24</x:v>
      </x:c>
      <x:c r="F54" s="39"/>
      <x:c r="G54" s="40" t="n">
        <x:f>IF(AND(COUNTIFS('Actuals'!$C$9:$C$44,G$7,'Actuals'!$D$9:$D$44,"Online")=3,SUMIFS('Actuals'!$K$9:$K$44,'Actuals'!$C$9:$C$44,G$7,'Actuals'!$D$9:$D$44,"Online")=3),SUMIFS('Actuals'!$J$9:$J$44,'Actuals'!$C$9:$C$44,G$7,'Actuals'!$D$9:$D$44,"Online"),NA())</x:f>
        <x:v>43334.979999999996</x:v>
      </x:c>
      <x:c r="H54" s="40" t="n">
        <x:f>IF(AND(COUNTIFS('Actuals'!$C$9:$C$44,H$7,'Actuals'!$D$9:$D$44,"Online")=3,SUMIFS('Actuals'!$K$9:$K$44,'Actuals'!$C$9:$C$44,H$7,'Actuals'!$D$9:$D$44,"Online")=3),SUMIFS('Actuals'!$J$9:$J$44,'Actuals'!$C$9:$C$44,H$7,'Actuals'!$D$9:$D$44,"Online"),NA())</x:f>
        <x:v>47373.520000000004</x:v>
      </x:c>
      <x:c r="I54" s="40" t="n">
        <x:f>IF(AND(COUNTIFS('Actuals'!$C$9:$C$44,I$7,'Actuals'!$D$9:$D$44,"Online")=3,SUMIFS('Actuals'!$K$9:$K$44,'Actuals'!$C$9:$C$44,I$7,'Actuals'!$D$9:$D$44,"Online")=3),SUMIFS('Actuals'!$J$9:$J$44,'Actuals'!$C$9:$C$44,I$7,'Actuals'!$D$9:$D$44,"Online"),NA())</x:f>
        <x:v>54185.6</x:v>
      </x:c>
      <x:c r="J54" s="40" t="n">
        <x:f>IF(AND(COUNTIFS('Actuals'!$C$9:$C$44,J$7,'Actuals'!$D$9:$D$44,"Online")=3,SUMIFS('Actuals'!$K$9:$K$44,'Actuals'!$C$9:$C$44,J$7,'Actuals'!$D$9:$D$44,"Online")=3),SUMIFS('Actuals'!$J$9:$J$44,'Actuals'!$C$9:$C$44,J$7,'Actuals'!$D$9:$D$44,"Online"),NA())</x:f>
        <x:v>59970.119999999995</x:v>
      </x:c>
      <x:c r="K54" s="40" t="n">
        <x:f>IF(AND(COUNTIFS('Actuals'!$C$9:$C$44,K$7,'Actuals'!$D$9:$D$44,"Online")=3,SUMIFS('Actuals'!$K$9:$K$44,'Actuals'!$C$9:$C$44,K$7,'Actuals'!$D$9:$D$44,"Online")=3),SUMIFS('Actuals'!$J$9:$J$44,'Actuals'!$C$9:$C$44,K$7,'Actuals'!$D$9:$D$44,"Online"),NA())</x:f>
        <x:v>59159.380000000005</x:v>
      </x:c>
      <x:c r="L54" s="40" t="n">
        <x:f>IF(AND(COUNTIFS('Actuals'!$C$9:$C$44,L$7,'Actuals'!$D$9:$D$44,"Online")=3,SUMIFS('Actuals'!$K$9:$K$44,'Actuals'!$C$9:$C$44,L$7,'Actuals'!$D$9:$D$44,"Online")=3),SUMIFS('Actuals'!$J$9:$J$44,'Actuals'!$C$9:$C$44,L$7,'Actuals'!$D$9:$D$44,"Online"),NA())</x:f>
        <x:v>61292.64</x:v>
      </x:c>
      <x:c r="M54" s="41" t="n">
        <x:f>M50*M52</x:f>
        <x:v>56401.92</x:v>
      </x:c>
      <x:c r="N54" s="41" t="n">
        <x:f>N50*N52</x:f>
        <x:v>59208.96</x:v>
      </x:c>
      <x:c r="O54" s="41" t="n">
        <x:f>O50*O52</x:f>
        <x:v>64855.68</x:v>
      </x:c>
      <x:c r="P54" s="41" t="n">
        <x:f>P50*P52</x:f>
        <x:v>70502.4</x:v>
      </x:c>
      <x:c r="Q54" s="41" t="n">
        <x:f>Q50*Q52</x:f>
        <x:v>90249.6</x:v>
      </x:c>
      <x:c r="R54" s="41" t="n">
        <x:f>R50*R52</x:f>
        <x:v>101510.40000000001</x:v>
      </x:c>
    </x:row>
    <x:row r="55" ht="20" customHeight="1">
      <x:c r="A55" s="2"/>
      <x:c r="B55" s="2"/>
      <x:c r="C55" s="2" t="str">
        <x:v>Online gross profit</x:v>
      </x:c>
      <x:c r="D55" s="41" t="n">
        <x:f>SUM(G55:R55)</x:f>
        <x:v>758945.9199999999</x:v>
      </x:c>
      <x:c r="E55" s="41" t="n">
        <x:f>SUM(G55:L55)</x:f>
        <x:v>315403.12</x:v>
      </x:c>
      <x:c r="F55" s="39"/>
      <x:c r="G55" s="41" t="n">
        <x:f>G53-G54</x:f>
        <x:v>44449.19</x:v>
      </x:c>
      <x:c r="H55" s="41" t="n">
        <x:f>H53-H54</x:f>
        <x:v>47177.71999999999</x:v>
      </x:c>
      <x:c r="I55" s="41" t="n">
        <x:f>I53-I54</x:f>
        <x:v>52886.12</x:v>
      </x:c>
      <x:c r="J55" s="41" t="n">
        <x:f>J53-J54</x:f>
        <x:v>55634.380000000005</x:v>
      </x:c>
      <x:c r="K55" s="41" t="n">
        <x:f>K53-K54</x:f>
        <x:v>56019.53</x:v>
      </x:c>
      <x:c r="L55" s="41" t="n">
        <x:f>L53-L54</x:f>
        <x:v>59236.18000000001</x:v>
      </x:c>
      <x:c r="M55" s="41" t="n">
        <x:f>M53-M54</x:f>
        <x:v>56505.600000000006</x:v>
      </x:c>
      <x:c r="N55" s="41" t="n">
        <x:f>N53-N54</x:f>
        <x:v>59317.80000000001</x:v>
      </x:c>
      <x:c r="O55" s="41" t="n">
        <x:f>O53-O54</x:f>
        <x:v>64974.9</x:v>
      </x:c>
      <x:c r="P55" s="41" t="n">
        <x:f>P53-P54</x:f>
        <x:v>70632</x:v>
      </x:c>
      <x:c r="Q55" s="41" t="n">
        <x:f>Q53-Q54</x:f>
        <x:v>90415.5</x:v>
      </x:c>
      <x:c r="R55" s="41" t="n">
        <x:f>R53-R54</x:f>
        <x:v>101697.00000000001</x:v>
      </x:c>
    </x:row>
    <x:row r="56" ht="20" customHeight="1">
      <x:c r="A56" s="2"/>
      <x:c r="B56" s="2"/>
      <x:c r="C56" s="2"/>
      <x:c r="D56" s="39"/>
      <x:c r="E56" s="39"/>
      <x:c r="F56" s="39"/>
      <x:c r="G56" s="39"/>
      <x:c r="H56" s="39"/>
      <x:c r="I56" s="39"/>
      <x:c r="J56" s="39"/>
      <x:c r="K56" s="39"/>
      <x:c r="L56" s="39"/>
      <x:c r="M56" s="39"/>
      <x:c r="N56" s="39"/>
      <x:c r="O56" s="39"/>
      <x:c r="P56" s="39"/>
      <x:c r="Q56" s="39"/>
      <x:c r="R56" s="39"/>
    </x:row>
    <x:row r="57" ht="20" customHeight="1">
      <x:c r="A57" s="2"/>
      <x:c r="B57" s="2"/>
      <x:c r="C57" s="55" t="str">
        <x:v>Revenue</x:v>
      </x:c>
      <x:c r="D57" s="56" t="n">
        <x:f>SUM(G57:R57)</x:f>
        <x:v>3917049.6000000006</x:v>
      </x:c>
      <x:c r="E57" s="56" t="n">
        <x:f>SUM(G57:L57)</x:f>
        <x:v>1683767.28</x:v>
      </x:c>
      <x:c r="F57" s="39"/>
      <x:c r="G57" s="56" t="n">
        <x:f>SUM(G46,G53)</x:f>
        <x:v>243880.16999999998</x:v>
      </x:c>
      <x:c r="H57" s="56" t="n">
        <x:f>SUM(H46,H53)</x:f>
        <x:v>248274.97</x:v>
      </x:c>
      <x:c r="I57" s="56" t="n">
        <x:f>SUM(I46,I53)</x:f>
        <x:v>274449.33999999997</x:v>
      </x:c>
      <x:c r="J57" s="56" t="n">
        <x:f>SUM(J46,J53)</x:f>
        <x:v>289758.1</x:v>
      </x:c>
      <x:c r="K57" s="56" t="n">
        <x:f>SUM(K46,K53)</x:f>
        <x:v>304950.92000000004</x:v>
      </x:c>
      <x:c r="L57" s="56" t="n">
        <x:f>SUM(L46,L53)</x:f>
        <x:v>322453.78</x:v>
      </x:c>
      <x:c r="M57" s="56" t="n">
        <x:f>SUM(M46,M53)</x:f>
        <x:v>299992.32</x:v>
      </x:c>
      <x:c r="N57" s="56" t="n">
        <x:f>SUM(N46,N53)</x:f>
        <x:v>314965.80000000005</x:v>
      </x:c>
      <x:c r="O57" s="56" t="n">
        <x:f>SUM(O46,O53)</x:f>
        <x:v>344978.1</x:v>
      </x:c>
      <x:c r="P57" s="56" t="n">
        <x:f>SUM(P46,P53)</x:f>
        <x:v>365636.16000000003</x:v>
      </x:c>
      <x:c r="Q57" s="56" t="n">
        <x:f>SUM(Q46,Q53)</x:f>
        <x:v>423875.33999999997</x:v>
      </x:c>
      <x:c r="R57" s="56" t="n">
        <x:f>SUM(R46,R53)</x:f>
        <x:v>483834.60000000003</x:v>
      </x:c>
    </x:row>
    <x:row r="58" ht="20" customHeight="1">
      <x:c r="A58" s="2"/>
      <x:c r="B58" s="2"/>
      <x:c r="C58" s="2" t="str">
        <x:v>COGS</x:v>
      </x:c>
      <x:c r="D58" s="41" t="n">
        <x:f>SUM(G58:R58)</x:f>
        <x:v>2304304.4</x:v>
      </x:c>
      <x:c r="E58" s="41" t="n">
        <x:f>SUM(G58:L58)</x:f>
        <x:v>1007252.24</x:v>
      </x:c>
      <x:c r="F58" s="39"/>
      <x:c r="G58" s="41" t="n">
        <x:f>SUM(G47,G54)</x:f>
        <x:v>143201.05</x:v>
      </x:c>
      <x:c r="H58" s="41" t="n">
        <x:f>SUM(H47,H54)</x:f>
        <x:v>146697.99</x:v>
      </x:c>
      <x:c r="I58" s="41" t="n">
        <x:f>SUM(I47,I54)</x:f>
        <x:v>164464.34</x:v>
      </x:c>
      <x:c r="J58" s="41" t="n">
        <x:f>SUM(J47,J54)</x:f>
        <x:v>175208.56</x:v>
      </x:c>
      <x:c r="K58" s="41" t="n">
        <x:f>SUM(K47,K54)</x:f>
        <x:v>184709.37</x:v>
      </x:c>
      <x:c r="L58" s="41" t="n">
        <x:f>SUM(L47,L54)</x:f>
        <x:v>192970.93</x:v>
      </x:c>
      <x:c r="M58" s="41" t="n">
        <x:f>SUM(M47,M54)</x:f>
        <x:v>175057.92</x:v>
      </x:c>
      <x:c r="N58" s="41" t="n">
        <x:f>SUM(N47,N54)</x:f>
        <x:v>183797.76</x:v>
      </x:c>
      <x:c r="O58" s="41" t="n">
        <x:f>SUM(O47,O54)</x:f>
        <x:v>201310.08000000002</x:v>
      </x:c>
      <x:c r="P58" s="41" t="n">
        <x:f>SUM(P47,P54)</x:f>
        <x:v>212889.6</x:v>
      </x:c>
      <x:c r="Q58" s="41" t="n">
        <x:f>SUM(Q47,Q54)</x:f>
        <x:v>244502.40000000002</x:v>
      </x:c>
      <x:c r="R58" s="41" t="n">
        <x:f>SUM(R47,R54)</x:f>
        <x:v>279494.4</x:v>
      </x:c>
    </x:row>
    <x:row r="59" ht="20" customHeight="1">
      <x:c r="A59" s="2"/>
      <x:c r="B59" s="2"/>
      <x:c r="C59" s="55" t="str">
        <x:v>Gross profit</x:v>
      </x:c>
      <x:c r="D59" s="56" t="n">
        <x:f>SUM(G59:R59)</x:f>
        <x:v>1612745.2</x:v>
      </x:c>
      <x:c r="E59" s="56" t="n">
        <x:f>SUM(G59:L59)</x:f>
        <x:v>676515.04</x:v>
      </x:c>
      <x:c r="F59" s="39"/>
      <x:c r="G59" s="56" t="n">
        <x:f>G57-G58</x:f>
        <x:v>100679.12</x:v>
      </x:c>
      <x:c r="H59" s="56" t="n">
        <x:f>H57-H58</x:f>
        <x:v>101576.98000000001</x:v>
      </x:c>
      <x:c r="I59" s="56" t="n">
        <x:f>I57-I58</x:f>
        <x:v>109984.99999999997</x:v>
      </x:c>
      <x:c r="J59" s="56" t="n">
        <x:f>J57-J58</x:f>
        <x:v>114549.53999999998</x:v>
      </x:c>
      <x:c r="K59" s="56" t="n">
        <x:f>K57-K58</x:f>
        <x:v>120241.55000000005</x:v>
      </x:c>
      <x:c r="L59" s="56" t="n">
        <x:f>L57-L58</x:f>
        <x:v>129482.85000000003</x:v>
      </x:c>
      <x:c r="M59" s="56" t="n">
        <x:f>M57-M58</x:f>
        <x:v>124934.4</x:v>
      </x:c>
      <x:c r="N59" s="56" t="n">
        <x:f>N57-N58</x:f>
        <x:v>131168.04000000004</x:v>
      </x:c>
      <x:c r="O59" s="56" t="n">
        <x:f>O57-O58</x:f>
        <x:v>143668.01999999996</x:v>
      </x:c>
      <x:c r="P59" s="56" t="n">
        <x:f>P57-P58</x:f>
        <x:v>152746.56000000003</x:v>
      </x:c>
      <x:c r="Q59" s="56" t="n">
        <x:f>Q57-Q58</x:f>
        <x:v>179372.93999999994</x:v>
      </x:c>
      <x:c r="R59" s="56" t="n">
        <x:f>R57-R58</x:f>
        <x:v>204340.2</x:v>
      </x:c>
    </x:row>
    <x:row r="60" ht="20" customHeight="1">
      <x:c r="A60" s="2"/>
      <x:c r="B60" s="2"/>
      <x:c r="C60" s="48" t="str">
        <x:v>Gross margin</x:v>
      </x:c>
      <x:c r="D60" s="49" t="n">
        <x:f>IF(D57=0,NA(),D59/D57)</x:f>
        <x:v>0.411724477525125</x:v>
      </x:c>
      <x:c r="E60" s="49" t="n">
        <x:f>IF(E57=0,NA(),E59/E57)</x:f>
        <x:v>0.401786546178757</x:v>
      </x:c>
      <x:c r="F60" s="50"/>
      <x:c r="G60" s="49" t="n">
        <x:f>IF(G57=0,NA(),G59/G57)</x:f>
        <x:v>0.41282208389472586</x:v>
      </x:c>
      <x:c r="H60" s="49" t="n">
        <x:f>IF(H57=0,NA(),H59/H57)</x:f>
        <x:v>0.40913097280809263</x:v>
      </x:c>
      <x:c r="I60" s="49" t="n">
        <x:f>IF(I57=0,NA(),I59/I57)</x:f>
        <x:v>0.40074791216477323</x:v>
      </x:c>
      <x:c r="J60" s="49" t="n">
        <x:f>IF(J57=0,NA(),J59/J57)</x:f>
        <x:v>0.395328172016589</x:v>
      </x:c>
      <x:c r="K60" s="49" t="n">
        <x:f>IF(K57=0,NA(),K59/K57)</x:f>
        <x:v>0.3942980398288355</x:v>
      </x:c>
      <x:c r="L60" s="49" t="n">
        <x:f>IF(L57=0,NA(),L59/L57)</x:f>
        <x:v>0.4015547592588309</x:v>
      </x:c>
      <x:c r="M60" s="49" t="n">
        <x:f>IF(M57=0,NA(),M59/M57)</x:f>
        <x:v>0.4164586613417303</x:v>
      </x:c>
      <x:c r="N60" s="49" t="n">
        <x:f>IF(N57=0,NA(),N59/N57)</x:f>
        <x:v>0.41645169094549317</x:v>
      </x:c>
      <x:c r="O60" s="49" t="n">
        <x:f>IF(O57=0,NA(),O59/O57)</x:f>
        <x:v>0.4164554793478194</x:v>
      </x:c>
      <x:c r="P60" s="49" t="n">
        <x:f>IF(P57=0,NA(),P59/P57)</x:f>
        <x:v>0.41775561804390465</x:v>
      </x:c>
      <x:c r="Q60" s="49" t="n">
        <x:f>IF(Q57=0,NA(),Q59/Q57)</x:f>
        <x:v>0.423173803883</x:v>
      </x:c>
      <x:c r="R60" s="49" t="n">
        <x:f>IF(R57=0,NA(),R59/R57)</x:f>
        <x:v>0.422334822685273</x:v>
      </x:c>
    </x:row>
    <x:row r="61" ht="20" customHeight="1">
      <x:c r="A61" s="2"/>
      <x:c r="B61" s="2"/>
      <x:c r="C61" s="2"/>
      <x:c r="D61" s="39"/>
      <x:c r="E61" s="39"/>
      <x:c r="F61" s="39"/>
      <x:c r="G61" s="39"/>
      <x:c r="H61" s="39"/>
      <x:c r="I61" s="39"/>
      <x:c r="J61" s="39"/>
      <x:c r="K61" s="39"/>
      <x:c r="L61" s="39"/>
      <x:c r="M61" s="39"/>
      <x:c r="N61" s="39"/>
      <x:c r="O61" s="39"/>
      <x:c r="P61" s="39"/>
      <x:c r="Q61" s="39"/>
      <x:c r="R61" s="39"/>
    </x:row>
    <x:row r="62" ht="20" customHeight="1">
      <x:c r="A62" s="2"/>
      <x:c r="B62" s="2"/>
      <x:c r="C62" s="2" t="str">
        <x:v>Paid FTE</x:v>
      </x:c>
      <x:c r="D62" s="39"/>
      <x:c r="E62" s="39"/>
      <x:c r="F62" s="39"/>
      <x:c r="G62" s="40" t="n">
        <x:f>IF(AND(COUNTIFS('Actuals'!$C$50:$C$55,G$7)=1,SUMIFS('Actuals'!$K$50:$K$55,'Actuals'!$C$50:$C$55,G$7)=1),SUMIFS('Actuals'!$D$50:$D$55,'Actuals'!$C$50:$C$55,G$7),NA())</x:f>
        <x:v>7</x:v>
      </x:c>
      <x:c r="H62" s="40" t="n">
        <x:f>IF(AND(COUNTIFS('Actuals'!$C$50:$C$55,H$7)=1,SUMIFS('Actuals'!$K$50:$K$55,'Actuals'!$C$50:$C$55,H$7)=1),SUMIFS('Actuals'!$D$50:$D$55,'Actuals'!$C$50:$C$55,H$7),NA())</x:f>
        <x:v>7</x:v>
      </x:c>
      <x:c r="I62" s="40" t="n">
        <x:f>IF(AND(COUNTIFS('Actuals'!$C$50:$C$55,I$7)=1,SUMIFS('Actuals'!$K$50:$K$55,'Actuals'!$C$50:$C$55,I$7)=1),SUMIFS('Actuals'!$D$50:$D$55,'Actuals'!$C$50:$C$55,I$7),NA())</x:f>
        <x:v>7</x:v>
      </x:c>
      <x:c r="J62" s="40" t="n">
        <x:f>IF(AND(COUNTIFS('Actuals'!$C$50:$C$55,J$7)=1,SUMIFS('Actuals'!$K$50:$K$55,'Actuals'!$C$50:$C$55,J$7)=1),SUMIFS('Actuals'!$D$50:$D$55,'Actuals'!$C$50:$C$55,J$7),NA())</x:f>
        <x:v>7</x:v>
      </x:c>
      <x:c r="K62" s="40" t="n">
        <x:f>IF(AND(COUNTIFS('Actuals'!$C$50:$C$55,K$7)=1,SUMIFS('Actuals'!$K$50:$K$55,'Actuals'!$C$50:$C$55,K$7)=1),SUMIFS('Actuals'!$D$50:$D$55,'Actuals'!$C$50:$C$55,K$7),NA())</x:f>
        <x:v>7</x:v>
      </x:c>
      <x:c r="L62" s="40" t="n">
        <x:f>IF(AND(COUNTIFS('Actuals'!$C$50:$C$55,L$7)=1,SUMIFS('Actuals'!$K$50:$K$55,'Actuals'!$C$50:$C$55,L$7)=1),SUMIFS('Actuals'!$D$50:$D$55,'Actuals'!$C$50:$C$55,L$7),NA())</x:f>
        <x:v>7</x:v>
      </x:c>
      <x:c r="M62" s="41" t="n">
        <x:f>M28</x:f>
        <x:v>7</x:v>
      </x:c>
      <x:c r="N62" s="41" t="n">
        <x:f>N28</x:f>
        <x:v>7</x:v>
      </x:c>
      <x:c r="O62" s="41" t="n">
        <x:f>O28</x:f>
        <x:v>7</x:v>
      </x:c>
      <x:c r="P62" s="41" t="n">
        <x:f>P28</x:f>
        <x:v>7</x:v>
      </x:c>
      <x:c r="Q62" s="41" t="n">
        <x:f>Q28</x:f>
        <x:v>7</x:v>
      </x:c>
      <x:c r="R62" s="41" t="n">
        <x:f>R28</x:f>
        <x:v>7</x:v>
      </x:c>
    </x:row>
    <x:row r="63" ht="20" customHeight="1">
      <x:c r="A63" s="2"/>
      <x:c r="B63" s="2"/>
      <x:c r="C63" s="2" t="str">
        <x:v>Annualized pay / FTE</x:v>
      </x:c>
      <x:c r="D63" s="39"/>
      <x:c r="E63" s="39"/>
      <x:c r="F63" s="39"/>
      <x:c r="G63" s="41" t="n">
        <x:f>G65/G62/(1+G64)*12</x:f>
        <x:v>66000</x:v>
      </x:c>
      <x:c r="H63" s="41" t="n">
        <x:f>H65/H62/(1+H64)*12</x:f>
        <x:v>66000</x:v>
      </x:c>
      <x:c r="I63" s="41" t="n">
        <x:f>I65/I62/(1+I64)*12</x:f>
        <x:v>66660</x:v>
      </x:c>
      <x:c r="J63" s="41" t="n">
        <x:f>J65/J62/(1+J64)*12</x:f>
        <x:v>66989.99254658386</x:v>
      </x:c>
      <x:c r="K63" s="41" t="n">
        <x:f>K65/K62/(1+K64)*12</x:f>
        <x:v>67320</x:v>
      </x:c>
      <x:c r="L63" s="41" t="n">
        <x:f>L65/L62/(1+L64)*12</x:f>
        <x:v>67320</x:v>
      </x:c>
      <x:c r="M63" s="41" t="n">
        <x:f>M29</x:f>
        <x:v>66000</x:v>
      </x:c>
      <x:c r="N63" s="41" t="n">
        <x:f>N29</x:f>
        <x:v>66000</x:v>
      </x:c>
      <x:c r="O63" s="41" t="n">
        <x:f>O29</x:f>
        <x:v>66000</x:v>
      </x:c>
      <x:c r="P63" s="41" t="n">
        <x:f>P29</x:f>
        <x:v>66000</x:v>
      </x:c>
      <x:c r="Q63" s="41" t="n">
        <x:f>Q29</x:f>
        <x:v>66000</x:v>
      </x:c>
      <x:c r="R63" s="41" t="n">
        <x:f>R29</x:f>
        <x:v>66000</x:v>
      </x:c>
    </x:row>
    <x:row r="64" ht="20" customHeight="1">
      <x:c r="A64" s="2"/>
      <x:c r="B64" s="2"/>
      <x:c r="C64" s="48" t="str">
        <x:v>Employer cost rate</x:v>
      </x:c>
      <x:c r="D64" s="50"/>
      <x:c r="E64" s="50"/>
      <x:c r="F64" s="50"/>
      <x:c r="G64" s="52" t="n">
        <x:f>IF(AND(COUNTIFS('Actuals'!$C$50:$C$55,G$7)=1,SUMIFS('Actuals'!$K$50:$K$55,'Actuals'!$C$50:$C$55,G$7)=1),SUMIFS('Actuals'!$E$50:$E$55,'Actuals'!$C$50:$C$55,G$7),NA())</x:f>
        <x:v>0.15</x:v>
      </x:c>
      <x:c r="H64" s="52" t="n">
        <x:f>IF(AND(COUNTIFS('Actuals'!$C$50:$C$55,H$7)=1,SUMIFS('Actuals'!$K$50:$K$55,'Actuals'!$C$50:$C$55,H$7)=1),SUMIFS('Actuals'!$E$50:$E$55,'Actuals'!$C$50:$C$55,H$7),NA())</x:f>
        <x:v>0.15</x:v>
      </x:c>
      <x:c r="I64" s="52" t="n">
        <x:f>IF(AND(COUNTIFS('Actuals'!$C$50:$C$55,I$7)=1,SUMIFS('Actuals'!$K$50:$K$55,'Actuals'!$C$50:$C$55,I$7)=1),SUMIFS('Actuals'!$E$50:$E$55,'Actuals'!$C$50:$C$55,I$7),NA())</x:f>
        <x:v>0.15</x:v>
      </x:c>
      <x:c r="J64" s="52" t="n">
        <x:f>IF(AND(COUNTIFS('Actuals'!$C$50:$C$55,J$7)=1,SUMIFS('Actuals'!$K$50:$K$55,'Actuals'!$C$50:$C$55,J$7)=1),SUMIFS('Actuals'!$E$50:$E$55,'Actuals'!$C$50:$C$55,J$7),NA())</x:f>
        <x:v>0.15</x:v>
      </x:c>
      <x:c r="K64" s="52" t="n">
        <x:f>IF(AND(COUNTIFS('Actuals'!$C$50:$C$55,K$7)=1,SUMIFS('Actuals'!$K$50:$K$55,'Actuals'!$C$50:$C$55,K$7)=1),SUMIFS('Actuals'!$E$50:$E$55,'Actuals'!$C$50:$C$55,K$7),NA())</x:f>
        <x:v>0.15</x:v>
      </x:c>
      <x:c r="L64" s="52" t="n">
        <x:f>IF(AND(COUNTIFS('Actuals'!$C$50:$C$55,L$7)=1,SUMIFS('Actuals'!$K$50:$K$55,'Actuals'!$C$50:$C$55,L$7)=1),SUMIFS('Actuals'!$E$50:$E$55,'Actuals'!$C$50:$C$55,L$7),NA())</x:f>
        <x:v>0.15</x:v>
      </x:c>
      <x:c r="M64" s="49" t="n">
        <x:f>M30</x:f>
        <x:v>0.15</x:v>
      </x:c>
      <x:c r="N64" s="49" t="n">
        <x:f>N30</x:f>
        <x:v>0.15</x:v>
      </x:c>
      <x:c r="O64" s="49" t="n">
        <x:f>O30</x:f>
        <x:v>0.15</x:v>
      </x:c>
      <x:c r="P64" s="49" t="n">
        <x:f>P30</x:f>
        <x:v>0.15</x:v>
      </x:c>
      <x:c r="Q64" s="49" t="n">
        <x:f>Q30</x:f>
        <x:v>0.15</x:v>
      </x:c>
      <x:c r="R64" s="49" t="n">
        <x:f>R30</x:f>
        <x:v>0.15</x:v>
      </x:c>
    </x:row>
    <x:row r="65" ht="20" customHeight="1">
      <x:c r="A65" s="2"/>
      <x:c r="B65" s="2"/>
      <x:c r="C65" s="2" t="str">
        <x:v>Payroll</x:v>
      </x:c>
      <x:c r="D65" s="41" t="n">
        <x:f>SUM(G65:R65)</x:f>
        <x:v>534177.87</x:v>
      </x:c>
      <x:c r="E65" s="41" t="n">
        <x:f>SUM(G65:L65)</x:f>
        <x:v>268527.87</x:v>
      </x:c>
      <x:c r="F65" s="39"/>
      <x:c r="G65" s="40" t="n">
        <x:f>IF(AND(COUNTIFS('Actuals'!$C$50:$C$55,G$7)=1,SUMIFS('Actuals'!$K$50:$K$55,'Actuals'!$C$50:$C$55,G$7)=1),SUMIFS('Actuals'!$F$50:$F$55,'Actuals'!$C$50:$C$55,G$7),NA())</x:f>
        <x:v>44275</x:v>
      </x:c>
      <x:c r="H65" s="40" t="n">
        <x:f>IF(AND(COUNTIFS('Actuals'!$C$50:$C$55,H$7)=1,SUMIFS('Actuals'!$K$50:$K$55,'Actuals'!$C$50:$C$55,H$7)=1),SUMIFS('Actuals'!$F$50:$F$55,'Actuals'!$C$50:$C$55,H$7),NA())</x:f>
        <x:v>44275</x:v>
      </x:c>
      <x:c r="I65" s="40" t="n">
        <x:f>IF(AND(COUNTIFS('Actuals'!$C$50:$C$55,I$7)=1,SUMIFS('Actuals'!$K$50:$K$55,'Actuals'!$C$50:$C$55,I$7)=1),SUMIFS('Actuals'!$F$50:$F$55,'Actuals'!$C$50:$C$55,I$7),NA())</x:f>
        <x:v>44717.75</x:v>
      </x:c>
      <x:c r="J65" s="40" t="n">
        <x:f>IF(AND(COUNTIFS('Actuals'!$C$50:$C$55,J$7)=1,SUMIFS('Actuals'!$K$50:$K$55,'Actuals'!$C$50:$C$55,J$7)=1),SUMIFS('Actuals'!$F$50:$F$55,'Actuals'!$C$50:$C$55,J$7),NA())</x:f>
        <x:v>44939.12</x:v>
      </x:c>
      <x:c r="K65" s="40" t="n">
        <x:f>IF(AND(COUNTIFS('Actuals'!$C$50:$C$55,K$7)=1,SUMIFS('Actuals'!$K$50:$K$55,'Actuals'!$C$50:$C$55,K$7)=1),SUMIFS('Actuals'!$F$50:$F$55,'Actuals'!$C$50:$C$55,K$7),NA())</x:f>
        <x:v>45160.5</x:v>
      </x:c>
      <x:c r="L65" s="40" t="n">
        <x:f>IF(AND(COUNTIFS('Actuals'!$C$50:$C$55,L$7)=1,SUMIFS('Actuals'!$K$50:$K$55,'Actuals'!$C$50:$C$55,L$7)=1),SUMIFS('Actuals'!$F$50:$F$55,'Actuals'!$C$50:$C$55,L$7),NA())</x:f>
        <x:v>45160.5</x:v>
      </x:c>
      <x:c r="M65" s="41" t="n">
        <x:f>M62*M63/12*(1+M64)</x:f>
        <x:v>44275</x:v>
      </x:c>
      <x:c r="N65" s="41" t="n">
        <x:f>N62*N63/12*(1+N64)</x:f>
        <x:v>44275</x:v>
      </x:c>
      <x:c r="O65" s="41" t="n">
        <x:f>O62*O63/12*(1+O64)</x:f>
        <x:v>44275</x:v>
      </x:c>
      <x:c r="P65" s="41" t="n">
        <x:f>P62*P63/12*(1+P64)</x:f>
        <x:v>44275</x:v>
      </x:c>
      <x:c r="Q65" s="41" t="n">
        <x:f>Q62*Q63/12*(1+Q64)</x:f>
        <x:v>44275</x:v>
      </x:c>
      <x:c r="R65" s="41" t="n">
        <x:f>R62*R63/12*(1+R64)</x:f>
        <x:v>44275</x:v>
      </x:c>
    </x:row>
    <x:row r="66" ht="20" customHeight="1">
      <x:c r="A66" s="2"/>
      <x:c r="B66" s="2"/>
      <x:c r="C66" s="2" t="str">
        <x:v>Wholesale delivery / unit</x:v>
      </x:c>
      <x:c r="D66" s="44"/>
      <x:c r="E66" s="44"/>
      <x:c r="F66" s="44"/>
      <x:c r="G66" s="45" t="n">
        <x:f>IF(AND(COUNTIFS('Actuals'!$C$50:$C$55,G$7)=1,SUMIFS('Actuals'!$K$50:$K$55,'Actuals'!$C$50:$C$55,G$7)=1),SUMIFS('Actuals'!$G$50:$G$55,'Actuals'!$C$50:$C$55,G$7),NA())/G43</x:f>
        <x:v>1.25</x:v>
      </x:c>
      <x:c r="H66" s="45" t="n">
        <x:f>IF(AND(COUNTIFS('Actuals'!$C$50:$C$55,H$7)=1,SUMIFS('Actuals'!$K$50:$K$55,'Actuals'!$C$50:$C$55,H$7)=1),SUMIFS('Actuals'!$G$50:$G$55,'Actuals'!$C$50:$C$55,H$7),NA())/H43</x:f>
        <x:v>1.25</x:v>
      </x:c>
      <x:c r="I66" s="45" t="n">
        <x:f>IF(AND(COUNTIFS('Actuals'!$C$50:$C$55,I$7)=1,SUMIFS('Actuals'!$K$50:$K$55,'Actuals'!$C$50:$C$55,I$7)=1),SUMIFS('Actuals'!$G$50:$G$55,'Actuals'!$C$50:$C$55,I$7),NA())/I43</x:f>
        <x:v>1.25</x:v>
      </x:c>
      <x:c r="J66" s="45" t="n">
        <x:f>IF(AND(COUNTIFS('Actuals'!$C$50:$C$55,J$7)=1,SUMIFS('Actuals'!$K$50:$K$55,'Actuals'!$C$50:$C$55,J$7)=1),SUMIFS('Actuals'!$G$50:$G$55,'Actuals'!$C$50:$C$55,J$7),NA())/J43</x:f>
        <x:v>1.25</x:v>
      </x:c>
      <x:c r="K66" s="45" t="n">
        <x:f>IF(AND(COUNTIFS('Actuals'!$C$50:$C$55,K$7)=1,SUMIFS('Actuals'!$K$50:$K$55,'Actuals'!$C$50:$C$55,K$7)=1),SUMIFS('Actuals'!$G$50:$G$55,'Actuals'!$C$50:$C$55,K$7),NA())/K43</x:f>
        <x:v>1.25</x:v>
      </x:c>
      <x:c r="L66" s="45" t="n">
        <x:f>IF(AND(COUNTIFS('Actuals'!$C$50:$C$55,L$7)=1,SUMIFS('Actuals'!$K$50:$K$55,'Actuals'!$C$50:$C$55,L$7)=1),SUMIFS('Actuals'!$G$50:$G$55,'Actuals'!$C$50:$C$55,L$7),NA())/L43</x:f>
        <x:v>1.25</x:v>
      </x:c>
      <x:c r="M66" s="43" t="n">
        <x:f>M32</x:f>
        <x:v>1.2</x:v>
      </x:c>
      <x:c r="N66" s="43" t="n">
        <x:f>N32</x:f>
        <x:v>1.2</x:v>
      </x:c>
      <x:c r="O66" s="43" t="n">
        <x:f>O32</x:f>
        <x:v>1.2</x:v>
      </x:c>
      <x:c r="P66" s="43" t="n">
        <x:f>P32</x:f>
        <x:v>1.2</x:v>
      </x:c>
      <x:c r="Q66" s="43" t="n">
        <x:f>Q32</x:f>
        <x:v>1.2</x:v>
      </x:c>
      <x:c r="R66" s="43" t="n">
        <x:f>R32</x:f>
        <x:v>1.2</x:v>
      </x:c>
    </x:row>
    <x:row r="67" ht="20" customHeight="1">
      <x:c r="A67" s="2"/>
      <x:c r="B67" s="2"/>
      <x:c r="C67" s="2" t="str">
        <x:v>Online fulfilment / unit</x:v>
      </x:c>
      <x:c r="D67" s="44"/>
      <x:c r="E67" s="44"/>
      <x:c r="F67" s="44"/>
      <x:c r="G67" s="45" t="n">
        <x:f>IF(AND(COUNTIFS('Actuals'!$C$50:$C$55,G$7)=1,SUMIFS('Actuals'!$K$50:$K$55,'Actuals'!$C$50:$C$55,G$7)=1),SUMIFS('Actuals'!$H$50:$H$55,'Actuals'!$C$50:$C$55,G$7),NA())/G50</x:f>
        <x:v>5.199999999999999</x:v>
      </x:c>
      <x:c r="H67" s="45" t="n">
        <x:f>IF(AND(COUNTIFS('Actuals'!$C$50:$C$55,H$7)=1,SUMIFS('Actuals'!$K$50:$K$55,'Actuals'!$C$50:$C$55,H$7)=1),SUMIFS('Actuals'!$H$50:$H$55,'Actuals'!$C$50:$C$55,H$7),NA())/H50</x:f>
        <x:v>5.2</x:v>
      </x:c>
      <x:c r="I67" s="45" t="n">
        <x:f>IF(AND(COUNTIFS('Actuals'!$C$50:$C$55,I$7)=1,SUMIFS('Actuals'!$K$50:$K$55,'Actuals'!$C$50:$C$55,I$7)=1),SUMIFS('Actuals'!$H$50:$H$55,'Actuals'!$C$50:$C$55,I$7),NA())/I50</x:f>
        <x:v>5.2</x:v>
      </x:c>
      <x:c r="J67" s="45" t="n">
        <x:f>IF(AND(COUNTIFS('Actuals'!$C$50:$C$55,J$7)=1,SUMIFS('Actuals'!$K$50:$K$55,'Actuals'!$C$50:$C$55,J$7)=1),SUMIFS('Actuals'!$H$50:$H$55,'Actuals'!$C$50:$C$55,J$7),NA())/J50</x:f>
        <x:v>5.199999999999999</x:v>
      </x:c>
      <x:c r="K67" s="45" t="n">
        <x:f>IF(AND(COUNTIFS('Actuals'!$C$50:$C$55,K$7)=1,SUMIFS('Actuals'!$K$50:$K$55,'Actuals'!$C$50:$C$55,K$7)=1),SUMIFS('Actuals'!$H$50:$H$55,'Actuals'!$C$50:$C$55,K$7),NA())/K50</x:f>
        <x:v>5.2</x:v>
      </x:c>
      <x:c r="L67" s="45" t="n">
        <x:f>IF(AND(COUNTIFS('Actuals'!$C$50:$C$55,L$7)=1,SUMIFS('Actuals'!$K$50:$K$55,'Actuals'!$C$50:$C$55,L$7)=1),SUMIFS('Actuals'!$H$50:$H$55,'Actuals'!$C$50:$C$55,L$7),NA())/L50</x:f>
        <x:v>5.2</x:v>
      </x:c>
      <x:c r="M67" s="43" t="n">
        <x:f>M33</x:f>
        <x:v>5</x:v>
      </x:c>
      <x:c r="N67" s="43" t="n">
        <x:f>N33</x:f>
        <x:v>5</x:v>
      </x:c>
      <x:c r="O67" s="43" t="n">
        <x:f>O33</x:f>
        <x:v>5</x:v>
      </x:c>
      <x:c r="P67" s="43" t="n">
        <x:f>P33</x:f>
        <x:v>5</x:v>
      </x:c>
      <x:c r="Q67" s="43" t="n">
        <x:f>Q33</x:f>
        <x:v>5</x:v>
      </x:c>
      <x:c r="R67" s="43" t="n">
        <x:f>R33</x:f>
        <x:v>5</x:v>
      </x:c>
    </x:row>
    <x:row r="68" ht="20" customHeight="1">
      <x:c r="A68" s="2"/>
      <x:c r="B68" s="2"/>
      <x:c r="C68" s="2" t="str">
        <x:v>Fulfilment expense</x:v>
      </x:c>
      <x:c r="D68" s="41" t="n">
        <x:f>SUM(G68:R68)</x:f>
        <x:v>180594.99999999997</x:v>
      </x:c>
      <x:c r="E68" s="41" t="n">
        <x:f>SUM(G68:L68)</x:f>
        <x:v>79597.4</x:v>
      </x:c>
      <x:c r="F68" s="39"/>
      <x:c r="G68" s="40" t="n">
        <x:f>IF(AND(COUNTIFS('Actuals'!$C$50:$C$55,G$7)=1,SUMIFS('Actuals'!$K$50:$K$55,'Actuals'!$C$50:$C$55,G$7)=1),SUMIFS('Actuals'!$G$50:$G$55,'Actuals'!$C$50:$C$55,G$7),NA())+IF(AND(COUNTIFS('Actuals'!$C$50:$C$55,G$7)=1,SUMIFS('Actuals'!$K$50:$K$55,'Actuals'!$C$50:$C$55,G$7)=1),SUMIFS('Actuals'!$H$50:$H$55,'Actuals'!$C$50:$C$55,G$7),NA())</x:f>
        <x:v>11178.9</x:v>
      </x:c>
      <x:c r="H68" s="40" t="n">
        <x:f>IF(AND(COUNTIFS('Actuals'!$C$50:$C$55,H$7)=1,SUMIFS('Actuals'!$K$50:$K$55,'Actuals'!$C$50:$C$55,H$7)=1),SUMIFS('Actuals'!$G$50:$G$55,'Actuals'!$C$50:$C$55,H$7),NA())+IF(AND(COUNTIFS('Actuals'!$C$50:$C$55,H$7)=1,SUMIFS('Actuals'!$K$50:$K$55,'Actuals'!$C$50:$C$55,H$7)=1),SUMIFS('Actuals'!$H$50:$H$55,'Actuals'!$C$50:$C$55,H$7),NA())</x:f>
        <x:v>11718.8</x:v>
      </x:c>
      <x:c r="I68" s="40" t="n">
        <x:f>IF(AND(COUNTIFS('Actuals'!$C$50:$C$55,I$7)=1,SUMIFS('Actuals'!$K$50:$K$55,'Actuals'!$C$50:$C$55,I$7)=1),SUMIFS('Actuals'!$G$50:$G$55,'Actuals'!$C$50:$C$55,I$7),NA())+IF(AND(COUNTIFS('Actuals'!$C$50:$C$55,I$7)=1,SUMIFS('Actuals'!$K$50:$K$55,'Actuals'!$C$50:$C$55,I$7)=1),SUMIFS('Actuals'!$H$50:$H$55,'Actuals'!$C$50:$C$55,I$7),NA())</x:f>
        <x:v>13159.4</x:v>
      </x:c>
      <x:c r="J68" s="40" t="n">
        <x:f>IF(AND(COUNTIFS('Actuals'!$C$50:$C$55,J$7)=1,SUMIFS('Actuals'!$K$50:$K$55,'Actuals'!$C$50:$C$55,J$7)=1),SUMIFS('Actuals'!$G$50:$G$55,'Actuals'!$C$50:$C$55,J$7),NA())+IF(AND(COUNTIFS('Actuals'!$C$50:$C$55,J$7)=1,SUMIFS('Actuals'!$K$50:$K$55,'Actuals'!$C$50:$C$55,J$7)=1),SUMIFS('Actuals'!$H$50:$H$55,'Actuals'!$C$50:$C$55,J$7),NA())</x:f>
        <x:v>14084.8</x:v>
      </x:c>
      <x:c r="K68" s="40" t="n">
        <x:f>IF(AND(COUNTIFS('Actuals'!$C$50:$C$55,K$7)=1,SUMIFS('Actuals'!$K$50:$K$55,'Actuals'!$C$50:$C$55,K$7)=1),SUMIFS('Actuals'!$G$50:$G$55,'Actuals'!$C$50:$C$55,K$7),NA())+IF(AND(COUNTIFS('Actuals'!$C$50:$C$55,K$7)=1,SUMIFS('Actuals'!$K$50:$K$55,'Actuals'!$C$50:$C$55,K$7)=1),SUMIFS('Actuals'!$H$50:$H$55,'Actuals'!$C$50:$C$55,K$7),NA())</x:f>
        <x:v>14389.1</x:v>
      </x:c>
      <x:c r="L68" s="40" t="n">
        <x:f>IF(AND(COUNTIFS('Actuals'!$C$50:$C$55,L$7)=1,SUMIFS('Actuals'!$K$50:$K$55,'Actuals'!$C$50:$C$55,L$7)=1),SUMIFS('Actuals'!$G$50:$G$55,'Actuals'!$C$50:$C$55,L$7),NA())+IF(AND(COUNTIFS('Actuals'!$C$50:$C$55,L$7)=1,SUMIFS('Actuals'!$K$50:$K$55,'Actuals'!$C$50:$C$55,L$7)=1),SUMIFS('Actuals'!$H$50:$H$55,'Actuals'!$C$50:$C$55,L$7),NA())</x:f>
        <x:v>15066.4</x:v>
      </x:c>
      <x:c r="M68" s="41" t="n">
        <x:f>M43*M66+M50*M67</x:f>
        <x:v>13248</x:v>
      </x:c>
      <x:c r="N68" s="41" t="n">
        <x:f>N43*N66+N50*N67</x:f>
        <x:v>13908.4</x:v>
      </x:c>
      <x:c r="O68" s="41" t="n">
        <x:f>O43*O66+O50*O67</x:f>
        <x:v>15234.2</x:v>
      </x:c>
      <x:c r="P68" s="41" t="n">
        <x:f>P43*P66+P50*P67</x:f>
        <x:v>16329.599999999999</x:v>
      </x:c>
      <x:c r="Q68" s="41" t="n">
        <x:f>Q43*Q66+Q50*Q67</x:f>
        <x:v>19815.4</x:v>
      </x:c>
      <x:c r="R68" s="41" t="n">
        <x:f>R43*R66+R50*R67</x:f>
        <x:v>22462</x:v>
      </x:c>
    </x:row>
    <x:row r="69" ht="20" customHeight="1">
      <x:c r="A69" s="2"/>
      <x:c r="B69" s="2"/>
      <x:c r="C69" s="48" t="str">
        <x:v>Marketing / online revenue</x:v>
      </x:c>
      <x:c r="D69" s="50"/>
      <x:c r="E69" s="50"/>
      <x:c r="F69" s="50"/>
      <x:c r="G69" s="49" t="n">
        <x:f>G70/G53</x:f>
        <x:v>0.12999997607769145</x:v>
      </x:c>
      <x:c r="H69" s="49" t="n">
        <x:f>H70/H53</x:f>
        <x:v>0.1399999619254068</x:v>
      </x:c>
      <x:c r="I69" s="49" t="n">
        <x:f>I70/I53</x:f>
        <x:v>0.15000001867906856</x:v>
      </x:c>
      <x:c r="J69" s="49" t="n">
        <x:f>J70/J53</x:f>
        <x:v>0.15500002162545576</x:v>
      </x:c>
      <x:c r="K69" s="49" t="n">
        <x:f>K70/K53</x:f>
        <x:v>0.15000003038750756</x:v>
      </x:c>
      <x:c r="L69" s="49" t="n">
        <x:f>L70/L53</x:f>
        <x:v>0.14500000912644792</x:v>
      </x:c>
      <x:c r="M69" s="52" t="n">
        <x:f>'Assumptions'!M67</x:f>
        <x:v>0.13</x:v>
      </x:c>
      <x:c r="N69" s="52" t="n">
        <x:f>'Assumptions'!N67</x:f>
        <x:v>0.13</x:v>
      </x:c>
      <x:c r="O69" s="52" t="n">
        <x:f>'Assumptions'!O67</x:f>
        <x:v>0.13</x:v>
      </x:c>
      <x:c r="P69" s="52" t="n">
        <x:f>'Assumptions'!P67</x:f>
        <x:v>0.13</x:v>
      </x:c>
      <x:c r="Q69" s="52" t="n">
        <x:f>'Assumptions'!Q67</x:f>
        <x:v>0.13</x:v>
      </x:c>
      <x:c r="R69" s="52" t="n">
        <x:f>'Assumptions'!R67</x:f>
        <x:v>0.13</x:v>
      </x:c>
    </x:row>
    <x:row r="70" ht="20" customHeight="1">
      <x:c r="A70" s="2"/>
      <x:c r="B70" s="2"/>
      <x:c r="C70" s="2" t="str">
        <x:v>Marketing expense</x:v>
      </x:c>
      <x:c r="D70" s="41" t="n">
        <x:f>SUM(G70:R70)</x:f>
        <x:v>208597.41879999998</x:v>
      </x:c>
      <x:c r="E70" s="41" t="n">
        <x:f>SUM(G70:L70)</x:f>
        <x:v>93382.09</x:v>
      </x:c>
      <x:c r="F70" s="39"/>
      <x:c r="G70" s="40" t="n">
        <x:f>IF(AND(COUNTIFS('Actuals'!$C$50:$C$55,G$7)=1,SUMIFS('Actuals'!$K$50:$K$55,'Actuals'!$C$50:$C$55,G$7)=1),SUMIFS('Actuals'!$I$50:$I$55,'Actuals'!$C$50:$C$55,G$7),NA())</x:f>
        <x:v>11411.94</x:v>
      </x:c>
      <x:c r="H70" s="40" t="n">
        <x:f>IF(AND(COUNTIFS('Actuals'!$C$50:$C$55,H$7)=1,SUMIFS('Actuals'!$K$50:$K$55,'Actuals'!$C$50:$C$55,H$7)=1),SUMIFS('Actuals'!$I$50:$I$55,'Actuals'!$C$50:$C$55,H$7),NA())</x:f>
        <x:v>13237.17</x:v>
      </x:c>
      <x:c r="I70" s="40" t="n">
        <x:f>IF(AND(COUNTIFS('Actuals'!$C$50:$C$55,I$7)=1,SUMIFS('Actuals'!$K$50:$K$55,'Actuals'!$C$50:$C$55,I$7)=1),SUMIFS('Actuals'!$I$50:$I$55,'Actuals'!$C$50:$C$55,I$7),NA())</x:f>
        <x:v>16060.76</x:v>
      </x:c>
      <x:c r="J70" s="40" t="n">
        <x:f>IF(AND(COUNTIFS('Actuals'!$C$50:$C$55,J$7)=1,SUMIFS('Actuals'!$K$50:$K$55,'Actuals'!$C$50:$C$55,J$7)=1),SUMIFS('Actuals'!$I$50:$I$55,'Actuals'!$C$50:$C$55,J$7),NA())</x:f>
        <x:v>17918.7</x:v>
      </x:c>
      <x:c r="K70" s="40" t="n">
        <x:f>IF(AND(COUNTIFS('Actuals'!$C$50:$C$55,K$7)=1,SUMIFS('Actuals'!$K$50:$K$55,'Actuals'!$C$50:$C$55,K$7)=1),SUMIFS('Actuals'!$I$50:$I$55,'Actuals'!$C$50:$C$55,K$7),NA())</x:f>
        <x:v>17276.84</x:v>
      </x:c>
      <x:c r="L70" s="40" t="n">
        <x:f>IF(AND(COUNTIFS('Actuals'!$C$50:$C$55,L$7)=1,SUMIFS('Actuals'!$K$50:$K$55,'Actuals'!$C$50:$C$55,L$7)=1),SUMIFS('Actuals'!$I$50:$I$55,'Actuals'!$C$50:$C$55,L$7),NA())</x:f>
        <x:v>17476.68</x:v>
      </x:c>
      <x:c r="M70" s="41" t="n">
        <x:f>M53*M69</x:f>
        <x:v>14677.9776</x:v>
      </x:c>
      <x:c r="N70" s="41" t="n">
        <x:f>N53*N69</x:f>
        <x:v>15408.478800000003</x:v>
      </x:c>
      <x:c r="O70" s="41" t="n">
        <x:f>O53*O69</x:f>
        <x:v>16877.9754</x:v>
      </x:c>
      <x:c r="P70" s="41" t="n">
        <x:f>P53*P69</x:f>
        <x:v>18347.472</x:v>
      </x:c>
      <x:c r="Q70" s="41" t="n">
        <x:f>Q53*Q69</x:f>
        <x:v>23486.463000000003</x:v>
      </x:c>
      <x:c r="R70" s="41" t="n">
        <x:f>R53*R69</x:f>
        <x:v>26416.962000000003</x:v>
      </x:c>
    </x:row>
    <x:row r="71" ht="20" customHeight="1">
      <x:c r="A71" s="2"/>
      <x:c r="B71" s="2"/>
      <x:c r="C71" s="2" t="str">
        <x:v>Fixed operating expenses</x:v>
      </x:c>
      <x:c r="D71" s="41" t="n">
        <x:f>SUM(G71:R71)</x:f>
        <x:v>159360</x:v>
      </x:c>
      <x:c r="E71" s="41" t="n">
        <x:f>SUM(G71:L71)</x:f>
        <x:v>79800</x:v>
      </x:c>
      <x:c r="F71" s="39"/>
      <x:c r="G71" s="40" t="n">
        <x:f>IF(AND(COUNTIFS('Actuals'!$C$50:$C$55,G$7)=1,SUMIFS('Actuals'!$K$50:$K$55,'Actuals'!$C$50:$C$55,G$7)=1),SUMIFS('Actuals'!$J$50:$J$55,'Actuals'!$C$50:$C$55,G$7),NA())</x:f>
        <x:v>13000</x:v>
      </x:c>
      <x:c r="H71" s="40" t="n">
        <x:f>IF(AND(COUNTIFS('Actuals'!$C$50:$C$55,H$7)=1,SUMIFS('Actuals'!$K$50:$K$55,'Actuals'!$C$50:$C$55,H$7)=1),SUMIFS('Actuals'!$J$50:$J$55,'Actuals'!$C$50:$C$55,H$7),NA())</x:f>
        <x:v>13100</x:v>
      </x:c>
      <x:c r="I71" s="40" t="n">
        <x:f>IF(AND(COUNTIFS('Actuals'!$C$50:$C$55,I$7)=1,SUMIFS('Actuals'!$K$50:$K$55,'Actuals'!$C$50:$C$55,I$7)=1),SUMIFS('Actuals'!$J$50:$J$55,'Actuals'!$C$50:$C$55,I$7),NA())</x:f>
        <x:v>13300</x:v>
      </x:c>
      <x:c r="J71" s="40" t="n">
        <x:f>IF(AND(COUNTIFS('Actuals'!$C$50:$C$55,J$7)=1,SUMIFS('Actuals'!$K$50:$K$55,'Actuals'!$C$50:$C$55,J$7)=1),SUMIFS('Actuals'!$J$50:$J$55,'Actuals'!$C$50:$C$55,J$7),NA())</x:f>
        <x:v>13500</x:v>
      </x:c>
      <x:c r="K71" s="40" t="n">
        <x:f>IF(AND(COUNTIFS('Actuals'!$C$50:$C$55,K$7)=1,SUMIFS('Actuals'!$K$50:$K$55,'Actuals'!$C$50:$C$55,K$7)=1),SUMIFS('Actuals'!$J$50:$J$55,'Actuals'!$C$50:$C$55,K$7),NA())</x:f>
        <x:v>13500</x:v>
      </x:c>
      <x:c r="L71" s="40" t="n">
        <x:f>IF(AND(COUNTIFS('Actuals'!$C$50:$C$55,L$7)=1,SUMIFS('Actuals'!$K$50:$K$55,'Actuals'!$C$50:$C$55,L$7)=1),SUMIFS('Actuals'!$J$50:$J$55,'Actuals'!$C$50:$C$55,L$7),NA())</x:f>
        <x:v>13400</x:v>
      </x:c>
      <x:c r="M71" s="40" t="n">
        <x:f>M37*'Assumptions'!M72</x:f>
        <x:v>13260</x:v>
      </x:c>
      <x:c r="N71" s="40" t="n">
        <x:f>N37*'Assumptions'!N72</x:f>
        <x:v>13260</x:v>
      </x:c>
      <x:c r="O71" s="40" t="n">
        <x:f>O37*'Assumptions'!O72</x:f>
        <x:v>13260</x:v>
      </x:c>
      <x:c r="P71" s="40" t="n">
        <x:f>P37*'Assumptions'!P72</x:f>
        <x:v>13260</x:v>
      </x:c>
      <x:c r="Q71" s="40" t="n">
        <x:f>Q37*'Assumptions'!Q72</x:f>
        <x:v>13260</x:v>
      </x:c>
      <x:c r="R71" s="40" t="n">
        <x:f>R37*'Assumptions'!R72</x:f>
        <x:v>13260</x:v>
      </x:c>
    </x:row>
    <x:row r="72" ht="20" customHeight="1">
      <x:c r="A72" s="2"/>
      <x:c r="B72" s="2"/>
      <x:c r="C72" s="55" t="str">
        <x:v>Operating expenses</x:v>
      </x:c>
      <x:c r="D72" s="56" t="n">
        <x:f>SUM(G72:R72)</x:f>
        <x:v>1082730.2888</x:v>
      </x:c>
      <x:c r="E72" s="56" t="n">
        <x:f>SUM(G72:L72)</x:f>
        <x:v>521307.36</x:v>
      </x:c>
      <x:c r="F72" s="39"/>
      <x:c r="G72" s="56" t="n">
        <x:f>SUM(G65,G68,G70,G71)</x:f>
        <x:v>79865.84</x:v>
      </x:c>
      <x:c r="H72" s="56" t="n">
        <x:f>SUM(H65,H68,H70,H71)</x:f>
        <x:v>82330.97</x:v>
      </x:c>
      <x:c r="I72" s="56" t="n">
        <x:f>SUM(I65,I68,I70,I71)</x:f>
        <x:v>87237.91</x:v>
      </x:c>
      <x:c r="J72" s="56" t="n">
        <x:f>SUM(J65,J68,J70,J71)</x:f>
        <x:v>90442.62</x:v>
      </x:c>
      <x:c r="K72" s="56" t="n">
        <x:f>SUM(K65,K68,K70,K71)</x:f>
        <x:v>90326.44</x:v>
      </x:c>
      <x:c r="L72" s="56" t="n">
        <x:f>SUM(L65,L68,L70,L71)</x:f>
        <x:v>91103.58</x:v>
      </x:c>
      <x:c r="M72" s="56" t="n">
        <x:f>SUM(M65,M68,M70,M71)</x:f>
        <x:v>85460.9776</x:v>
      </x:c>
      <x:c r="N72" s="56" t="n">
        <x:f>SUM(N65,N68,N70,N71)</x:f>
        <x:v>86851.8788</x:v>
      </x:c>
      <x:c r="O72" s="56" t="n">
        <x:f>SUM(O65,O68,O70,O71)</x:f>
        <x:v>89647.1754</x:v>
      </x:c>
      <x:c r="P72" s="56" t="n">
        <x:f>SUM(P65,P68,P70,P71)</x:f>
        <x:v>92212.072</x:v>
      </x:c>
      <x:c r="Q72" s="56" t="n">
        <x:f>SUM(Q65,Q68,Q70,Q71)</x:f>
        <x:v>100836.86300000001</x:v>
      </x:c>
      <x:c r="R72" s="56" t="n">
        <x:f>SUM(R65,R68,R70,R71)</x:f>
        <x:v>106413.962</x:v>
      </x:c>
    </x:row>
    <x:row r="73" ht="20" customHeight="1">
      <x:c r="A73" s="2"/>
      <x:c r="B73" s="2"/>
      <x:c r="C73" s="57" t="str">
        <x:v>EBITDA</x:v>
      </x:c>
      <x:c r="D73" s="58" t="n">
        <x:f>SUM(G73:R73)</x:f>
        <x:v>530014.9112</x:v>
      </x:c>
      <x:c r="E73" s="58" t="n">
        <x:f>SUM(G73:L73)</x:f>
        <x:v>155207.68000000005</x:v>
      </x:c>
      <x:c r="F73" s="39"/>
      <x:c r="G73" s="58" t="n">
        <x:f>G59-G72</x:f>
        <x:v>20813.28</x:v>
      </x:c>
      <x:c r="H73" s="58" t="n">
        <x:f>H59-H72</x:f>
        <x:v>19246.01000000001</x:v>
      </x:c>
      <x:c r="I73" s="58" t="n">
        <x:f>I59-I72</x:f>
        <x:v>22747.089999999967</x:v>
      </x:c>
      <x:c r="J73" s="58" t="n">
        <x:f>J59-J72</x:f>
        <x:v>24106.919999999984</x:v>
      </x:c>
      <x:c r="K73" s="58" t="n">
        <x:f>K59-K72</x:f>
        <x:v>29915.110000000044</x:v>
      </x:c>
      <x:c r="L73" s="58" t="n">
        <x:f>L59-L72</x:f>
        <x:v>38379.27000000003</x:v>
      </x:c>
      <x:c r="M73" s="58" t="n">
        <x:f>M59-M72</x:f>
        <x:v>39473.422399999996</x:v>
      </x:c>
      <x:c r="N73" s="58" t="n">
        <x:f>N59-N72</x:f>
        <x:v>44316.16120000003</x:v>
      </x:c>
      <x:c r="O73" s="58" t="n">
        <x:f>O59-O72</x:f>
        <x:v>54020.84459999997</x:v>
      </x:c>
      <x:c r="P73" s="58" t="n">
        <x:f>P59-P72</x:f>
        <x:v>60534.48800000003</x:v>
      </x:c>
      <x:c r="Q73" s="58" t="n">
        <x:f>Q59-Q72</x:f>
        <x:v>78536.07699999993</x:v>
      </x:c>
      <x:c r="R73" s="58" t="n">
        <x:f>R59-R72</x:f>
        <x:v>97926.23800000001</x:v>
      </x:c>
    </x:row>
    <x:row r="74" ht="20" customHeight="1">
      <x:c r="A74" s="2"/>
      <x:c r="B74" s="2"/>
      <x:c r="C74" s="48" t="str">
        <x:v>EBITDA margin</x:v>
      </x:c>
      <x:c r="D74" s="49" t="n">
        <x:f>IF(D57=0,NA(),D73/D57)</x:f>
        <x:v>0.13530972679028622</x:v>
      </x:c>
      <x:c r="E74" s="49" t="n">
        <x:f>IF(E57=0,NA(),E73/E57)</x:f>
        <x:v>0.09217881939124037</x:v>
      </x:c>
      <x:c r="F74" s="50"/>
      <x:c r="G74" s="49" t="n">
        <x:f>IF(G57=0,NA(),G73/G57)</x:f>
        <x:v>0.08534224000253895</x:v>
      </x:c>
      <x:c r="H74" s="49" t="n">
        <x:f>IF(H57=0,NA(),H73/H57)</x:f>
        <x:v>0.07751892991871073</x:v>
      </x:c>
      <x:c r="I74" s="49" t="n">
        <x:f>IF(I57=0,NA(),I73/I57)</x:f>
        <x:v>0.08288265513773861</x:v>
      </x:c>
      <x:c r="J74" s="49" t="n">
        <x:f>IF(J57=0,NA(),J73/J57)</x:f>
        <x:v>0.08319670787460294</x:v>
      </x:c>
      <x:c r="K74" s="49" t="n">
        <x:f>IF(K57=0,NA(),K73/K57)</x:f>
        <x:v>0.09809811362431713</x:v>
      </x:c>
      <x:c r="L74" s="49" t="n">
        <x:f>IF(L57=0,NA(),L73/L57)</x:f>
        <x:v>0.11902254642510325</x:v>
      </x:c>
      <x:c r="M74" s="49" t="n">
        <x:f>IF(M57=0,NA(),M73/M57)</x:f>
        <x:v>0.13158144315161133</x:v>
      </x:c>
      <x:c r="N74" s="49" t="n">
        <x:f>IF(N57=0,NA(),N73/N57)</x:f>
        <x:v>0.14070150219484154</x:v>
      </x:c>
      <x:c r="O74" s="49" t="n">
        <x:f>IF(O57=0,NA(),O73/O57)</x:f>
        <x:v>0.15659209845494532</x:v>
      </x:c>
      <x:c r="P74" s="49" t="n">
        <x:f>IF(P57=0,NA(),P73/P57)</x:f>
        <x:v>0.1655593582429047</x:v>
      </x:c>
      <x:c r="Q74" s="49" t="n">
        <x:f>IF(Q57=0,NA(),Q73/Q57)</x:f>
        <x:v>0.1852810710809455</x:v>
      </x:c>
      <x:c r="R74" s="49" t="n">
        <x:f>IF(R57=0,NA(),R73/R57)</x:f>
        <x:v>0.20239610395784016</x:v>
      </x:c>
    </x:row>
    <x:row r="75" ht="20" customHeight="1">
      <x:c r="A75" s="2"/>
      <x:c r="B75" s="2"/>
      <x:c r="C75" s="2"/>
      <x:c r="D75" s="2"/>
      <x:c r="E75" s="2"/>
      <x:c r="F75" s="2"/>
      <x:c r="G75" s="2"/>
      <x:c r="H75" s="2"/>
      <x:c r="I75" s="2"/>
      <x:c r="J75" s="2"/>
      <x:c r="K75" s="2"/>
      <x:c r="L75" s="2"/>
      <x:c r="M75" s="2"/>
      <x:c r="N75" s="2"/>
      <x:c r="O75" s="2"/>
      <x:c r="P75" s="2"/>
      <x:c r="Q75" s="2"/>
      <x:c r="R75" s="2"/>
    </x:row>
    <x:row r="76" ht="20" customHeight="1">
      <x:c r="A76" s="2"/>
      <x:c r="B76" s="2"/>
      <x:c r="C76" s="2"/>
      <x:c r="D76" s="2"/>
      <x:c r="E76" s="2"/>
      <x:c r="F76" s="2"/>
      <x:c r="G76" s="42" t="str">
        <x:v>Actual</x:v>
      </x:c>
      <x:c r="H76" s="42" t="str">
        <x:v>Actual</x:v>
      </x:c>
      <x:c r="I76" s="42" t="str">
        <x:v>Actual</x:v>
      </x:c>
      <x:c r="J76" s="42" t="str">
        <x:v>Actual</x:v>
      </x:c>
      <x:c r="K76" s="42" t="str">
        <x:v>Actual</x:v>
      </x:c>
      <x:c r="L76" s="42" t="str">
        <x:v>Actual</x:v>
      </x:c>
      <x:c r="M76" s="31" t="str">
        <x:v>Forecast</x:v>
      </x:c>
      <x:c r="N76" s="31" t="str">
        <x:v>Forecast</x:v>
      </x:c>
      <x:c r="O76" s="31" t="str">
        <x:v>Forecast</x:v>
      </x:c>
      <x:c r="P76" s="31" t="str">
        <x:v>Forecast</x:v>
      </x:c>
      <x:c r="Q76" s="31" t="str">
        <x:v>Forecast</x:v>
      </x:c>
      <x:c r="R76" s="31" t="str">
        <x:v>Forecast</x:v>
      </x:c>
    </x:row>
    <x:row r="77" ht="20" customHeight="1">
      <x:c r="A77" s="2"/>
      <x:c r="B77" s="2"/>
      <x:c r="C77" s="2"/>
      <x:c r="D77" s="2"/>
      <x:c r="E77" s="2"/>
      <x:c r="F77" s="2"/>
      <x:c r="G77" s="2"/>
      <x:c r="H77" s="2"/>
      <x:c r="I77" s="2"/>
      <x:c r="J77" s="2"/>
      <x:c r="K77" s="2"/>
      <x:c r="L77" s="2"/>
      <x:c r="M77" s="2"/>
      <x:c r="N77" s="2"/>
      <x:c r="O77" s="2"/>
      <x:c r="P77" s="2"/>
      <x:c r="Q77" s="2"/>
      <x:c r="R77" s="2"/>
    </x:row>
    <x:row r="78" ht="20" customHeight="1">
      <x:c r="A78" s="2"/>
      <x:c r="B78" s="2"/>
      <x:c r="C78" s="2"/>
      <x:c r="D78" s="2"/>
      <x:c r="E78" s="2"/>
      <x:c r="F78" s="2"/>
      <x:c r="G78" s="2"/>
      <x:c r="H78" s="2"/>
      <x:c r="I78" s="2"/>
      <x:c r="J78" s="2"/>
      <x:c r="K78" s="2"/>
      <x:c r="L78" s="2"/>
      <x:c r="M78" s="2"/>
      <x:c r="N78" s="2"/>
      <x:c r="O78" s="2"/>
      <x:c r="P78" s="2"/>
      <x:c r="Q78" s="2"/>
      <x:c r="R78" s="2"/>
    </x:row>
    <x:row r="79" ht="20" customHeight="1">
      <x:c r="A79" s="2"/>
      <x:c r="B79" s="2"/>
      <x:c r="C79" s="2"/>
      <x:c r="D79" s="2"/>
      <x:c r="E79" s="2"/>
      <x:c r="F79" s="2"/>
      <x:c r="G79" s="2"/>
      <x:c r="H79" s="2"/>
      <x:c r="I79" s="2"/>
      <x:c r="J79" s="2"/>
      <x:c r="K79" s="2"/>
      <x:c r="L79" s="2"/>
      <x:c r="M79" s="2"/>
      <x:c r="N79" s="2"/>
      <x:c r="O79" s="2"/>
      <x:c r="P79" s="2"/>
      <x:c r="Q79" s="2"/>
      <x:c r="R79" s="2"/>
    </x:row>
    <x:row r="80" ht="20" customHeight="1">
      <x:c r="A80" s="2"/>
      <x:c r="B80" s="2"/>
      <x:c r="C80" s="2"/>
      <x:c r="D80" s="2"/>
      <x:c r="E80" s="2"/>
      <x:c r="F80" s="2"/>
      <x:c r="G80" s="2"/>
      <x:c r="H80" s="2"/>
      <x:c r="I80" s="2"/>
      <x:c r="J80" s="2"/>
      <x:c r="K80" s="2"/>
      <x:c r="L80" s="2"/>
      <x:c r="M80" s="2"/>
      <x:c r="N80" s="2"/>
      <x:c r="O80" s="2"/>
      <x:c r="P80" s="2"/>
      <x:c r="Q80" s="2"/>
      <x:c r="R80" s="2"/>
    </x:row>
  </x:sheetData>
  <x:sheetProtection password="BE0E" sheet="1" objects="1" scenarios="1" formatCells="1" formatColumns="1" formatRows="1" insertColumns="1" insertRows="1" insertHyperlinks="1" deleteColumns="1" deleteRows="1" selectLockedCells="0" sort="1" autoFilter="1" pivotTables="1" selectUnlockedCells="0"/>
  <x:pageMargins left="0.7" right="0.7" top="0.75" bottom="0.75" header="0.3" footer="0.3"/>
</x:worksheet>
</file>

<file path=xl/worksheets/sheet4.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2.200000047683716" hidden="0" customWidth="1"/>
    <x:col min="2" max="2" width="2.200000047683716" hidden="0" customWidth="1"/>
    <x:col min="3" max="3" width="39" hidden="0" customWidth="1"/>
    <x:col min="4" max="4" width="16" hidden="0" customWidth="1"/>
    <x:col min="5" max="5" width="16" hidden="0" customWidth="1"/>
    <x:col min="6" max="6" width="16" hidden="0" customWidth="1"/>
    <x:col min="7" max="7" width="16" hidden="0" customWidth="1"/>
    <x:col min="8" max="8" width="16" hidden="0" customWidth="1"/>
    <x:col min="9" max="9" width="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s>
  <x:sheetData>
    <x:row r="1" ht="20" customHeight="1">
      <x:c r="A1" s="2"/>
      <x:c r="B1" s="2"/>
      <x:c r="C1" s="2"/>
      <x:c r="D1" s="2"/>
      <x:c r="E1" s="2"/>
      <x:c r="F1" s="2"/>
      <x:c r="G1" s="2"/>
      <x:c r="H1" s="2"/>
      <x:c r="I1" s="2"/>
      <x:c r="J1" s="2"/>
      <x:c r="K1" s="2"/>
      <x:c r="L1" s="2"/>
      <x:c r="M1" s="2"/>
      <x:c r="N1" s="2"/>
      <x:c r="O1" s="2"/>
    </x:row>
    <x:row r="2" ht="29" customHeight="1">
      <x:c r="A2" s="2"/>
      <x:c r="B2" s="2"/>
      <x:c r="C2" s="3" t="str">
        <x:v>First-half performance review</x:v>
      </x:c>
      <x:c r="D2" s="2"/>
      <x:c r="E2" s="2"/>
      <x:c r="F2" s="2"/>
      <x:c r="G2" s="2"/>
      <x:c r="H2" s="2"/>
      <x:c r="I2" s="2"/>
      <x:c r="J2" s="2"/>
      <x:c r="K2" s="2"/>
      <x:c r="L2" s="2"/>
      <x:c r="M2" s="2"/>
      <x:c r="N2" s="2"/>
      <x:c r="O2" s="2"/>
    </x:row>
    <x:row r="3" ht="23" customHeight="1">
      <x:c r="A3" s="2"/>
      <x:c r="B3" s="2"/>
      <x:c r="C3" s="5" t="str">
        <x:v>January-June 2026. Variance = actual minus budget. Higher costs are unfavorable.</x:v>
      </x:c>
      <x:c r="D3" s="4"/>
      <x:c r="E3" s="4"/>
      <x:c r="F3" s="4"/>
      <x:c r="G3" s="4"/>
      <x:c r="H3" s="4"/>
      <x:c r="I3" s="4"/>
      <x:c r="J3" s="4"/>
      <x:c r="K3" s="4"/>
      <x:c r="L3" s="4"/>
      <x:c r="M3" s="4"/>
      <x:c r="N3" s="4"/>
      <x:c r="O3" s="4"/>
    </x:row>
    <x:row r="4" ht="20" customHeight="1">
      <x:c r="A4" s="2"/>
      <x:c r="B4" s="2"/>
      <x:c r="C4" s="2"/>
      <x:c r="D4" s="2"/>
      <x:c r="E4" s="2"/>
      <x:c r="F4" s="2"/>
      <x:c r="G4" s="2"/>
      <x:c r="H4" s="2"/>
      <x:c r="I4" s="2"/>
      <x:c r="J4" s="2"/>
      <x:c r="K4" s="2"/>
      <x:c r="L4" s="2"/>
      <x:c r="M4" s="2"/>
      <x:c r="N4" s="2"/>
      <x:c r="O4" s="2"/>
    </x:row>
    <x:row r="5" ht="20" customHeight="1">
      <x:c r="A5" s="2"/>
      <x:c r="B5" s="2"/>
      <x:c r="C5" s="2" t="str">
        <x:v>Case selected:</x:v>
      </x:c>
      <x:c r="D5" s="8" t="str">
        <x:f>'Assumptions'!E5</x:f>
        <x:v>Base</x:v>
      </x:c>
      <x:c r="E5" s="2"/>
      <x:c r="F5" s="2"/>
      <x:c r="G5" s="2"/>
      <x:c r="H5" s="2"/>
      <x:c r="I5" s="2"/>
      <x:c r="J5" s="2"/>
      <x:c r="K5" s="2"/>
      <x:c r="L5" s="2"/>
      <x:c r="M5" s="2"/>
      <x:c r="N5" s="2"/>
      <x:c r="O5" s="2"/>
    </x:row>
    <x:row r="6" ht="20" customHeight="1">
      <x:c r="A6" s="2"/>
      <x:c r="B6" s="2"/>
      <x:c r="C6" s="2"/>
      <x:c r="D6" s="2"/>
      <x:c r="E6" s="2"/>
      <x:c r="F6" s="2"/>
      <x:c r="G6" s="2"/>
      <x:c r="H6" s="2"/>
      <x:c r="I6" s="2"/>
      <x:c r="J6" s="48" t="str">
        <x:v>Monthly variance (CAD, margins in pp)</x:v>
      </x:c>
      <x:c r="K6" s="2"/>
      <x:c r="L6" s="2"/>
      <x:c r="M6" s="2"/>
      <x:c r="N6" s="2"/>
      <x:c r="O6" s="2"/>
    </x:row>
    <x:row r="7" ht="27" customHeight="1">
      <x:c r="A7" s="2"/>
      <x:c r="B7" s="2"/>
      <x:c r="C7" s="28" t="str">
        <x:v>P&amp;L metric</x:v>
      </x:c>
      <x:c r="D7" s="28" t="str">
        <x:v>Budget</x:v>
      </x:c>
      <x:c r="E7" s="28" t="str">
        <x:v>Actual</x:v>
      </x:c>
      <x:c r="F7" s="28" t="str">
        <x:v>Variance CAD</x:v>
      </x:c>
      <x:c r="G7" s="28" t="str">
        <x:v>Variance %</x:v>
      </x:c>
      <x:c r="H7" s="28" t="str">
        <x:v>Direction</x:v>
      </x:c>
      <x:c r="I7" s="2"/>
      <x:c r="J7" s="30" t="n">
        <x:v>46023</x:v>
      </x:c>
      <x:c r="K7" s="30" t="n">
        <x:v>46054</x:v>
      </x:c>
      <x:c r="L7" s="30" t="n">
        <x:v>46082</x:v>
      </x:c>
      <x:c r="M7" s="30" t="n">
        <x:v>46113</x:v>
      </x:c>
      <x:c r="N7" s="30" t="n">
        <x:v>46143</x:v>
      </x:c>
      <x:c r="O7" s="30" t="n">
        <x:v>46174</x:v>
      </x:c>
    </x:row>
    <x:row r="8" ht="20" customHeight="1">
      <x:c r="A8" s="2"/>
      <x:c r="B8" s="2"/>
      <x:c r="C8" s="2" t="str">
        <x:v>Revenue</x:v>
      </x:c>
      <x:c r="D8" s="40" t="n">
        <x:f>'Operating Model'!E23</x:f>
        <x:v>1710240</x:v>
      </x:c>
      <x:c r="E8" s="40" t="n">
        <x:f>'Operating Model'!E57</x:f>
        <x:v>1683767.28</x:v>
      </x:c>
      <x:c r="F8" s="41" t="n">
        <x:f>E8-D8</x:f>
        <x:v>-26472.719999999972</x:v>
      </x:c>
      <x:c r="G8" s="46" t="n">
        <x:f>IF(D8=0,NA(),F8/D8)</x:f>
        <x:v>-0.015478950322761701</x:v>
      </x:c>
      <x:c r="H8" s="62" t="str">
        <x:f>IF(ABS(F8)&lt;0.00001,"On budget",IF(F8&gt;0,"Favorable","Unfavorable"))</x:f>
        <x:v>Unfavorable</x:v>
      </x:c>
      <x:c r="I8" s="2"/>
      <x:c r="J8" s="40" t="n">
        <x:f>'Operating Model'!G57-'Operating Model'!G23</x:f>
        <x:v>-3799.8300000000163</x:v>
      </x:c>
      <x:c r="K8" s="40" t="n">
        <x:f>'Operating Model'!H57-'Operating Model'!H23</x:f>
        <x:v>-4685.029999999999</x:v>
      </x:c>
      <x:c r="L8" s="40" t="n">
        <x:f>'Operating Model'!I57-'Operating Model'!I23</x:f>
        <x:v>-8270.660000000033</x:v>
      </x:c>
      <x:c r="M8" s="40" t="n">
        <x:f>'Operating Model'!J57-'Operating Model'!J23</x:f>
        <x:v>-7841.900000000023</x:v>
      </x:c>
      <x:c r="N8" s="40" t="n">
        <x:f>'Operating Model'!K57-'Operating Model'!K23</x:f>
        <x:v>-2249.079999999958</x:v>
      </x:c>
      <x:c r="O8" s="40" t="n">
        <x:f>'Operating Model'!L57-'Operating Model'!L23</x:f>
        <x:v>373.78000000002794</x:v>
      </x:c>
    </x:row>
    <x:row r="9" ht="20" customHeight="1">
      <x:c r="A9" s="2"/>
      <x:c r="B9" s="2"/>
      <x:c r="C9" s="2" t="str">
        <x:v>COGS</x:v>
      </x:c>
      <x:c r="D9" s="40" t="n">
        <x:f>'Operating Model'!E24</x:f>
        <x:v>985280</x:v>
      </x:c>
      <x:c r="E9" s="40" t="n">
        <x:f>'Operating Model'!E58</x:f>
        <x:v>1007252.24</x:v>
      </x:c>
      <x:c r="F9" s="41" t="n">
        <x:f>E9-D9</x:f>
        <x:v>21972.23999999999</x:v>
      </x:c>
      <x:c r="G9" s="46" t="n">
        <x:f>IF(D9=0,NA(),F9/D9)</x:f>
        <x:v>0.022300503410198107</x:v>
      </x:c>
      <x:c r="H9" s="62" t="str">
        <x:f>IF(ABS(F9)&lt;0.00001,"On budget",IF(F9&lt;0,"Favorable","Unfavorable"))</x:f>
        <x:v>Unfavorable</x:v>
      </x:c>
      <x:c r="I9" s="2"/>
      <x:c r="J9" s="40" t="n">
        <x:f>'Operating Model'!G58-'Operating Model'!G24</x:f>
        <x:v>241.04999999998836</x:v>
      </x:c>
      <x:c r="K9" s="40" t="n">
        <x:f>'Operating Model'!H58-'Operating Model'!H24</x:f>
        <x:v>1177.9899999999907</x:v>
      </x:c>
      <x:c r="L9" s="40" t="n">
        <x:f>'Operating Model'!I58-'Operating Model'!I24</x:f>
        <x:v>1824.3399999999965</x:v>
      </x:c>
      <x:c r="M9" s="40" t="n">
        <x:f>'Operating Model'!J58-'Operating Model'!J24</x:f>
        <x:v>4008.5599999999977</x:v>
      </x:c>
      <x:c r="N9" s="40" t="n">
        <x:f>'Operating Model'!K58-'Operating Model'!K24</x:f>
        <x:v>7509.369999999995</x:v>
      </x:c>
      <x:c r="O9" s="40" t="n">
        <x:f>'Operating Model'!L58-'Operating Model'!L24</x:f>
        <x:v>7210.929999999993</x:v>
      </x:c>
    </x:row>
    <x:row r="10" ht="20" customHeight="1">
      <x:c r="A10" s="2"/>
      <x:c r="B10" s="2"/>
      <x:c r="C10" s="55" t="str">
        <x:v>Gross profit</x:v>
      </x:c>
      <x:c r="D10" s="67" t="n">
        <x:f>'Operating Model'!E25</x:f>
        <x:v>724960</x:v>
      </x:c>
      <x:c r="E10" s="67" t="n">
        <x:f>'Operating Model'!E59</x:f>
        <x:v>676515.04</x:v>
      </x:c>
      <x:c r="F10" s="56" t="n">
        <x:f>E10-D10</x:f>
        <x:v>-48444.95999999996</x:v>
      </x:c>
      <x:c r="G10" s="68" t="n">
        <x:f>IF(D10=0,NA(),F10/D10)</x:f>
        <x:v>-0.06682432134186708</x:v>
      </x:c>
      <x:c r="H10" s="69" t="str">
        <x:f>IF(ABS(F10)&lt;0.00001,"On budget",IF(F10&gt;0,"Favorable","Unfavorable"))</x:f>
        <x:v>Unfavorable</x:v>
      </x:c>
      <x:c r="I10" s="2"/>
      <x:c r="J10" s="40" t="n">
        <x:f>'Operating Model'!G59-'Operating Model'!G25</x:f>
        <x:v>-4040.8800000000047</x:v>
      </x:c>
      <x:c r="K10" s="40" t="n">
        <x:f>'Operating Model'!H59-'Operating Model'!H25</x:f>
        <x:v>-5863.0199999999895</x:v>
      </x:c>
      <x:c r="L10" s="40" t="n">
        <x:f>'Operating Model'!I59-'Operating Model'!I25</x:f>
        <x:v>-10095.00000000003</x:v>
      </x:c>
      <x:c r="M10" s="40" t="n">
        <x:f>'Operating Model'!J59-'Operating Model'!J25</x:f>
        <x:v>-11850.460000000021</x:v>
      </x:c>
      <x:c r="N10" s="40" t="n">
        <x:f>'Operating Model'!K59-'Operating Model'!K25</x:f>
        <x:v>-9758.449999999953</x:v>
      </x:c>
      <x:c r="O10" s="40" t="n">
        <x:f>'Operating Model'!L59-'Operating Model'!L25</x:f>
        <x:v>-6837.149999999965</x:v>
      </x:c>
    </x:row>
    <x:row r="11" ht="20" customHeight="1">
      <x:c r="A11" s="2"/>
      <x:c r="B11" s="2"/>
      <x:c r="C11" s="2" t="str">
        <x:v>Gross margin</x:v>
      </x:c>
      <x:c r="D11" s="51" t="n">
        <x:f>'Operating Model'!E26</x:f>
        <x:v>0.42389372251847696</x:v>
      </x:c>
      <x:c r="E11" s="51" t="n">
        <x:f>'Operating Model'!E60</x:f>
        <x:v>0.401786546178757</x:v>
      </x:c>
      <x:c r="F11" s="59" t="n">
        <x:f>(E11-D11)*100</x:f>
        <x:v>-2.2107176339719983</x:v>
      </x:c>
      <x:c r="G11" s="60" t="str">
        <x:v>n.a.</x:v>
      </x:c>
      <x:c r="H11" s="62" t="str">
        <x:f>IF(ABS(F11)&lt;0.00001,"On budget",IF(F11&gt;0,"Favorable","Unfavorable"))</x:f>
        <x:v>Unfavorable</x:v>
      </x:c>
      <x:c r="I11" s="2"/>
      <x:c r="J11" s="61" t="n">
        <x:f>('Operating Model'!G60-'Operating Model'!G26)*100</x:f>
        <x:v>-0.9981533676333587</x:v>
      </x:c>
      <x:c r="K11" s="61" t="n">
        <x:f>('Operating Model'!H60-'Operating Model'!H26)*100</x:f>
        <x:v>-1.5600209987606306</x:v>
      </x:c>
      <x:c r="L11" s="61" t="n">
        <x:f>('Operating Model'!I60-'Operating Model'!I26)*100</x:f>
        <x:v>-2.3983270630925704</x:v>
      </x:c>
      <x:c r="M11" s="61" t="n">
        <x:f>('Operating Model'!J60-'Operating Model'!J26)*100</x:f>
        <x:v>-2.940301077910995</x:v>
      </x:c>
      <x:c r="N11" s="61" t="n">
        <x:f>('Operating Model'!K60-'Operating Model'!K26)*100</x:f>
        <x:v>-2.8879043504497828</x:v>
      </x:c>
      <x:c r="O11" s="61" t="n">
        <x:f>('Operating Model'!L60-'Operating Model'!L26)*100</x:f>
        <x:v>-2.16941230064448</x:v>
      </x:c>
    </x:row>
    <x:row r="12" ht="20" customHeight="1">
      <x:c r="A12" s="2"/>
      <x:c r="B12" s="2"/>
      <x:c r="C12" s="2"/>
      <x:c r="D12" s="2"/>
      <x:c r="E12" s="2"/>
      <x:c r="F12" s="2"/>
      <x:c r="G12" s="2"/>
      <x:c r="H12" s="63"/>
      <x:c r="I12" s="2"/>
      <x:c r="J12" s="2"/>
      <x:c r="K12" s="2"/>
      <x:c r="L12" s="2"/>
      <x:c r="M12" s="2"/>
      <x:c r="N12" s="2"/>
      <x:c r="O12" s="2"/>
    </x:row>
    <x:row r="13" ht="20" customHeight="1">
      <x:c r="A13" s="2"/>
      <x:c r="B13" s="2"/>
      <x:c r="C13" s="2" t="str">
        <x:v>Payroll</x:v>
      </x:c>
      <x:c r="D13" s="40" t="n">
        <x:f>'Operating Model'!E31</x:f>
        <x:v>265650</x:v>
      </x:c>
      <x:c r="E13" s="40" t="n">
        <x:f>'Operating Model'!E65</x:f>
        <x:v>268527.87</x:v>
      </x:c>
      <x:c r="F13" s="41" t="n">
        <x:f>E13-D13</x:f>
        <x:v>2877.8699999999953</x:v>
      </x:c>
      <x:c r="G13" s="46" t="n">
        <x:f>IF(D13=0,NA(),F13/D13)</x:f>
        <x:v>0.010833314511575364</x:v>
      </x:c>
      <x:c r="H13" s="62" t="str">
        <x:f>IF(ABS(F13)&lt;0.00001,"On budget",IF(F13&lt;0,"Favorable","Unfavorable"))</x:f>
        <x:v>Unfavorable</x:v>
      </x:c>
      <x:c r="I13" s="2"/>
      <x:c r="J13" s="40" t="n">
        <x:f>'Operating Model'!G65-'Operating Model'!G31</x:f>
        <x:v>0</x:v>
      </x:c>
      <x:c r="K13" s="40" t="n">
        <x:f>'Operating Model'!H65-'Operating Model'!H31</x:f>
        <x:v>0</x:v>
      </x:c>
      <x:c r="L13" s="40" t="n">
        <x:f>'Operating Model'!I65-'Operating Model'!I31</x:f>
        <x:v>442.75</x:v>
      </x:c>
      <x:c r="M13" s="40" t="n">
        <x:f>'Operating Model'!J65-'Operating Model'!J31</x:f>
        <x:v>664.1200000000026</x:v>
      </x:c>
      <x:c r="N13" s="40" t="n">
        <x:f>'Operating Model'!K65-'Operating Model'!K31</x:f>
        <x:v>885.5</x:v>
      </x:c>
      <x:c r="O13" s="40" t="n">
        <x:f>'Operating Model'!L65-'Operating Model'!L31</x:f>
        <x:v>885.5</x:v>
      </x:c>
    </x:row>
    <x:row r="14" ht="20" customHeight="1">
      <x:c r="A14" s="2"/>
      <x:c r="B14" s="2"/>
      <x:c r="C14" s="2" t="str">
        <x:v>Fulfilment</x:v>
      </x:c>
      <x:c r="D14" s="40" t="n">
        <x:f>'Operating Model'!E34</x:f>
        <x:v>73040</x:v>
      </x:c>
      <x:c r="E14" s="40" t="n">
        <x:f>'Operating Model'!E68</x:f>
        <x:v>79597.4</x:v>
      </x:c>
      <x:c r="F14" s="41" t="n">
        <x:f>E14-D14</x:f>
        <x:v>6557.399999999994</x:v>
      </x:c>
      <x:c r="G14" s="46" t="n">
        <x:f>IF(D14=0,NA(),F14/D14)</x:f>
        <x:v>0.08977820372398677</x:v>
      </x:c>
      <x:c r="H14" s="62" t="str">
        <x:f>IF(ABS(F14)&lt;0.00001,"On budget",IF(F14&lt;0,"Favorable","Unfavorable"))</x:f>
        <x:v>Unfavorable</x:v>
      </x:c>
      <x:c r="I14" s="2"/>
      <x:c r="J14" s="40" t="n">
        <x:f>'Operating Model'!G68-'Operating Model'!G34</x:f>
        <x:v>698.8999999999996</x:v>
      </x:c>
      <x:c r="K14" s="40" t="n">
        <x:f>'Operating Model'!H68-'Operating Model'!H34</x:f>
        <x:v>838.7999999999993</x:v>
      </x:c>
      <x:c r="L14" s="40" t="n">
        <x:f>'Operating Model'!I68-'Operating Model'!I34</x:f>
        <x:v>999.3999999999996</x:v>
      </x:c>
      <x:c r="M14" s="40" t="n">
        <x:f>'Operating Model'!J68-'Operating Model'!J34</x:f>
        <x:v>1284.7999999999993</x:v>
      </x:c>
      <x:c r="N14" s="40" t="n">
        <x:f>'Operating Model'!K68-'Operating Model'!K34</x:f>
        <x:v>1349.1000000000004</x:v>
      </x:c>
      <x:c r="O14" s="40" t="n">
        <x:f>'Operating Model'!L68-'Operating Model'!L34</x:f>
        <x:v>1386.3999999999996</x:v>
      </x:c>
    </x:row>
    <x:row r="15" ht="20" customHeight="1">
      <x:c r="A15" s="2"/>
      <x:c r="B15" s="2"/>
      <x:c r="C15" s="2" t="str">
        <x:v>Marketing</x:v>
      </x:c>
      <x:c r="D15" s="40" t="n">
        <x:f>'Operating Model'!E36</x:f>
        <x:v>71596.8</x:v>
      </x:c>
      <x:c r="E15" s="40" t="n">
        <x:f>'Operating Model'!E70</x:f>
        <x:v>93382.09</x:v>
      </x:c>
      <x:c r="F15" s="41" t="n">
        <x:f>E15-D15</x:f>
        <x:v>21785.289999999994</x:v>
      </x:c>
      <x:c r="G15" s="46" t="n">
        <x:f>IF(D15=0,NA(),F15/D15)</x:f>
        <x:v>0.3042774258067399</x:v>
      </x:c>
      <x:c r="H15" s="62" t="str">
        <x:f>IF(ABS(F15)&lt;0.00001,"On budget",IF(F15&lt;0,"Favorable","Unfavorable"))</x:f>
        <x:v>Unfavorable</x:v>
      </x:c>
      <x:c r="I15" s="2"/>
      <x:c r="J15" s="40" t="n">
        <x:f>'Operating Model'!G70-'Operating Model'!G36</x:f>
        <x:v>1274.3400000000001</x:v>
      </x:c>
      <x:c r="K15" s="40" t="n">
        <x:f>'Operating Model'!H70-'Operating Model'!H36</x:f>
        <x:v>2465.970000000001</x:v>
      </x:c>
      <x:c r="L15" s="40" t="n">
        <x:f>'Operating Model'!I70-'Operating Model'!I36</x:f>
        <x:v>4022.3600000000006</x:v>
      </x:c>
      <x:c r="M15" s="40" t="n">
        <x:f>'Operating Model'!J70-'Operating Model'!J36</x:f>
        <x:v>5246.700000000001</x:v>
      </x:c>
      <x:c r="N15" s="40" t="n">
        <x:f>'Operating Model'!K70-'Operating Model'!K36</x:f>
        <x:v>4604.84</x:v>
      </x:c>
      <x:c r="O15" s="40" t="n">
        <x:f>'Operating Model'!L70-'Operating Model'!L36</x:f>
        <x:v>4171.08</x:v>
      </x:c>
    </x:row>
    <x:row r="16" ht="20" customHeight="1">
      <x:c r="A16" s="2"/>
      <x:c r="B16" s="2"/>
      <x:c r="C16" s="2" t="str">
        <x:v>Fixed operating expenses</x:v>
      </x:c>
      <x:c r="D16" s="40" t="n">
        <x:f>'Operating Model'!E37</x:f>
        <x:v>78000</x:v>
      </x:c>
      <x:c r="E16" s="40" t="n">
        <x:f>'Operating Model'!E71</x:f>
        <x:v>79800</x:v>
      </x:c>
      <x:c r="F16" s="41" t="n">
        <x:f>E16-D16</x:f>
        <x:v>1800</x:v>
      </x:c>
      <x:c r="G16" s="46" t="n">
        <x:f>IF(D16=0,NA(),F16/D16)</x:f>
        <x:v>0.023076923076923078</x:v>
      </x:c>
      <x:c r="H16" s="62" t="str">
        <x:f>IF(ABS(F16)&lt;0.00001,"On budget",IF(F16&lt;0,"Favorable","Unfavorable"))</x:f>
        <x:v>Unfavorable</x:v>
      </x:c>
      <x:c r="I16" s="2"/>
      <x:c r="J16" s="40" t="n">
        <x:f>'Operating Model'!G71-'Operating Model'!G37</x:f>
        <x:v>0</x:v>
      </x:c>
      <x:c r="K16" s="40" t="n">
        <x:f>'Operating Model'!H71-'Operating Model'!H37</x:f>
        <x:v>100</x:v>
      </x:c>
      <x:c r="L16" s="40" t="n">
        <x:f>'Operating Model'!I71-'Operating Model'!I37</x:f>
        <x:v>300</x:v>
      </x:c>
      <x:c r="M16" s="40" t="n">
        <x:f>'Operating Model'!J71-'Operating Model'!J37</x:f>
        <x:v>500</x:v>
      </x:c>
      <x:c r="N16" s="40" t="n">
        <x:f>'Operating Model'!K71-'Operating Model'!K37</x:f>
        <x:v>500</x:v>
      </x:c>
      <x:c r="O16" s="40" t="n">
        <x:f>'Operating Model'!L71-'Operating Model'!L37</x:f>
        <x:v>400</x:v>
      </x:c>
    </x:row>
    <x:row r="17" ht="20" customHeight="1">
      <x:c r="A17" s="2"/>
      <x:c r="B17" s="2"/>
      <x:c r="C17" s="55" t="str">
        <x:v>Operating expenses</x:v>
      </x:c>
      <x:c r="D17" s="67" t="n">
        <x:f>'Operating Model'!E38</x:f>
        <x:v>488286.79999999993</x:v>
      </x:c>
      <x:c r="E17" s="67" t="n">
        <x:f>'Operating Model'!E72</x:f>
        <x:v>521307.36</x:v>
      </x:c>
      <x:c r="F17" s="56" t="n">
        <x:f>E17-D17</x:f>
        <x:v>33020.560000000056</x:v>
      </x:c>
      <x:c r="G17" s="68" t="n">
        <x:f>IF(D17=0,NA(),F17/D17)</x:f>
        <x:v>0.06762533822335574</x:v>
      </x:c>
      <x:c r="H17" s="69" t="str">
        <x:f>IF(ABS(F17)&lt;0.00001,"On budget",IF(F17&lt;0,"Favorable","Unfavorable"))</x:f>
        <x:v>Unfavorable</x:v>
      </x:c>
      <x:c r="I17" s="2"/>
      <x:c r="J17" s="40" t="n">
        <x:f>'Operating Model'!G72-'Operating Model'!G38</x:f>
        <x:v>1973.2399999999907</x:v>
      </x:c>
      <x:c r="K17" s="40" t="n">
        <x:f>'Operating Model'!H72-'Operating Model'!H38</x:f>
        <x:v>3404.770000000004</x:v>
      </x:c>
      <x:c r="L17" s="40" t="n">
        <x:f>'Operating Model'!I72-'Operating Model'!I38</x:f>
        <x:v>5764.510000000009</x:v>
      </x:c>
      <x:c r="M17" s="40" t="n">
        <x:f>'Operating Model'!J72-'Operating Model'!J38</x:f>
        <x:v>7695.619999999995</x:v>
      </x:c>
      <x:c r="N17" s="40" t="n">
        <x:f>'Operating Model'!K72-'Operating Model'!K38</x:f>
        <x:v>7339.440000000002</x:v>
      </x:c>
      <x:c r="O17" s="40" t="n">
        <x:f>'Operating Model'!L72-'Operating Model'!L38</x:f>
        <x:v>6842.979999999996</x:v>
      </x:c>
    </x:row>
    <x:row r="18" ht="20" customHeight="1">
      <x:c r="A18" s="2"/>
      <x:c r="B18" s="2"/>
      <x:c r="C18" s="2"/>
      <x:c r="D18" s="2"/>
      <x:c r="E18" s="2"/>
      <x:c r="F18" s="2"/>
      <x:c r="G18" s="2"/>
      <x:c r="H18" s="63"/>
      <x:c r="I18" s="2"/>
      <x:c r="J18" s="2"/>
      <x:c r="K18" s="2"/>
      <x:c r="L18" s="2"/>
      <x:c r="M18" s="2"/>
      <x:c r="N18" s="2"/>
      <x:c r="O18" s="2"/>
    </x:row>
    <x:row r="19" ht="20" customHeight="1">
      <x:c r="A19" s="2"/>
      <x:c r="B19" s="2"/>
      <x:c r="C19" s="57" t="str">
        <x:v>EBITDA</x:v>
      </x:c>
      <x:c r="D19" s="70" t="n">
        <x:f>'Operating Model'!E39</x:f>
        <x:v>236673.19999999998</x:v>
      </x:c>
      <x:c r="E19" s="70" t="n">
        <x:f>'Operating Model'!E73</x:f>
        <x:v>155207.68000000005</x:v>
      </x:c>
      <x:c r="F19" s="58" t="n">
        <x:f>E19-D19</x:f>
        <x:v>-81465.51999999993</x:v>
      </x:c>
      <x:c r="G19" s="71" t="n">
        <x:f>IF(D19=0,NA(),F19/D19)</x:f>
        <x:v>-0.3442110048793017</x:v>
      </x:c>
      <x:c r="H19" s="72" t="str">
        <x:f>IF(ABS(F19)&lt;0.00001,"On budget",IF(F19&gt;0,"Favorable","Unfavorable"))</x:f>
        <x:v>Unfavorable</x:v>
      </x:c>
      <x:c r="I19" s="2"/>
      <x:c r="J19" s="40" t="n">
        <x:f>'Operating Model'!G73-'Operating Model'!G39</x:f>
        <x:v>-6014.119999999995</x:v>
      </x:c>
      <x:c r="K19" s="40" t="n">
        <x:f>'Operating Model'!H73-'Operating Model'!H39</x:f>
        <x:v>-9267.789999999994</x:v>
      </x:c>
      <x:c r="L19" s="40" t="n">
        <x:f>'Operating Model'!I73-'Operating Model'!I39</x:f>
        <x:v>-15859.510000000038</x:v>
      </x:c>
      <x:c r="M19" s="40" t="n">
        <x:f>'Operating Model'!J73-'Operating Model'!J39</x:f>
        <x:v>-19546.080000000016</x:v>
      </x:c>
      <x:c r="N19" s="40" t="n">
        <x:f>'Operating Model'!K73-'Operating Model'!K39</x:f>
        <x:v>-17097.889999999956</x:v>
      </x:c>
      <x:c r="O19" s="40" t="n">
        <x:f>'Operating Model'!L73-'Operating Model'!L39</x:f>
        <x:v>-13680.129999999961</x:v>
      </x:c>
    </x:row>
    <x:row r="20" ht="20" customHeight="1">
      <x:c r="A20" s="2"/>
      <x:c r="B20" s="2"/>
      <x:c r="C20" s="2" t="str">
        <x:v>EBITDA margin</x:v>
      </x:c>
      <x:c r="D20" s="51" t="n">
        <x:f>'Operating Model'!E40</x:f>
        <x:v>0.13838595752642902</x:v>
      </x:c>
      <x:c r="E20" s="51" t="n">
        <x:f>'Operating Model'!E74</x:f>
        <x:v>0.09217881939124037</x:v>
      </x:c>
      <x:c r="F20" s="59" t="n">
        <x:f>(E20-D20)*100</x:f>
        <x:v>-4.620713813518865</x:v>
      </x:c>
      <x:c r="G20" s="60" t="str">
        <x:v>n.a.</x:v>
      </x:c>
      <x:c r="H20" s="62" t="str">
        <x:f>IF(ABS(F20)&lt;0.00001,"On budget",IF(F20&gt;0,"Favorable","Unfavorable"))</x:f>
        <x:v>Unfavorable</x:v>
      </x:c>
      <x:c r="I20" s="2"/>
      <x:c r="J20" s="61" t="n">
        <x:f>('Operating Model'!G74-'Operating Model'!G40)*100</x:f>
        <x:v>-2.2972520979373163</x:v>
      </x:c>
      <x:c r="K20" s="61" t="n">
        <x:f>('Operating Model'!H74-'Operating Model'!H40)*100</x:f>
        <x:v>-3.5201658316583395</x:v>
      </x:c>
      <x:c r="L20" s="61" t="n">
        <x:f>('Operating Model'!I74-'Operating Model'!I40)*100</x:f>
        <x:v>-5.367153275133894</x:v>
      </x:c>
      <x:c r="M20" s="61" t="n">
        <x:f>('Operating Model'!J74-'Operating Model'!J40)*100</x:f>
        <x:v>-6.348675986733256</x:v>
      </x:c>
      <x:c r="N20" s="61" t="n">
        <x:f>('Operating Model'!K74-'Operating Model'!K40)*100</x:f>
        <x:v>-5.493899575068288</x:v>
      </x:c>
      <x:c r="O20" s="61" t="n">
        <x:f>('Operating Model'!L74-'Operating Model'!L40)*100</x:f>
        <x:v>-4.26124510910418</x:v>
      </x:c>
    </x:row>
    <x:row r="21" ht="20" customHeight="1">
      <x:c r="A21" s="2"/>
      <x:c r="B21" s="2"/>
      <x:c r="C21" s="2"/>
      <x:c r="D21" s="2"/>
      <x:c r="E21" s="2"/>
      <x:c r="F21" s="2"/>
      <x:c r="G21" s="2"/>
      <x:c r="H21" s="2"/>
      <x:c r="I21" s="2"/>
      <x:c r="J21" s="2"/>
      <x:c r="K21" s="2"/>
      <x:c r="L21" s="2"/>
      <x:c r="M21" s="2"/>
      <x:c r="N21" s="2"/>
      <x:c r="O21" s="2"/>
    </x:row>
    <x:row r="22" ht="20" customHeight="1">
      <x:c r="A22" s="2"/>
      <x:c r="B22" s="2"/>
      <x:c r="C22" s="2"/>
      <x:c r="D22" s="2"/>
      <x:c r="E22" s="2"/>
      <x:c r="F22" s="2"/>
      <x:c r="G22" s="2"/>
      <x:c r="H22" s="2"/>
      <x:c r="I22" s="2"/>
      <x:c r="J22" s="2"/>
      <x:c r="K22" s="2"/>
      <x:c r="L22" s="2"/>
      <x:c r="M22" s="2"/>
      <x:c r="N22" s="2"/>
      <x:c r="O22" s="2"/>
    </x:row>
    <x:row r="23" ht="20" customHeight="1">
      <x:c r="A23" s="2"/>
      <x:c r="B23" s="2"/>
      <x:c r="C23" s="2"/>
      <x:c r="D23" s="2"/>
      <x:c r="E23" s="2"/>
      <x:c r="F23" s="2"/>
      <x:c r="G23" s="2"/>
      <x:c r="H23" s="2"/>
      <x:c r="I23" s="2"/>
      <x:c r="J23" s="2"/>
      <x:c r="K23" s="2"/>
      <x:c r="L23" s="2"/>
      <x:c r="M23" s="2"/>
      <x:c r="N23" s="2"/>
      <x:c r="O23" s="2"/>
    </x:row>
    <x:row r="24" ht="24" customHeight="1">
      <x:c r="A24" s="2"/>
      <x:c r="B24" s="2"/>
      <x:c r="C24" s="11" t="str">
        <x:v>EBITDA variance explained</x:v>
      </x:c>
      <x:c r="D24" s="11"/>
      <x:c r="E24" s="11"/>
      <x:c r="F24" s="11"/>
      <x:c r="G24" s="11"/>
      <x:c r="H24" s="11"/>
      <x:c r="I24" s="2"/>
      <x:c r="J24" s="2"/>
      <x:c r="K24" s="2"/>
      <x:c r="L24" s="2"/>
      <x:c r="M24" s="2"/>
      <x:c r="N24" s="2"/>
      <x:c r="O24" s="2"/>
    </x:row>
    <x:row r="25" ht="20" customHeight="1">
      <x:c r="A25" s="2"/>
      <x:c r="B25" s="2"/>
      <x:c r="C25" s="2" t="str">
        <x:v>Positive impact improves EBITDA. Price and unit-cost effects include product mix.</x:v>
      </x:c>
      <x:c r="D25" s="2"/>
      <x:c r="E25" s="2"/>
      <x:c r="F25" s="2"/>
      <x:c r="G25" s="2"/>
      <x:c r="H25" s="2"/>
      <x:c r="I25" s="2"/>
      <x:c r="J25" s="2"/>
      <x:c r="K25" s="2"/>
      <x:c r="L25" s="2"/>
      <x:c r="M25" s="2"/>
      <x:c r="N25" s="2"/>
      <x:c r="O25" s="2"/>
    </x:row>
    <x:row r="26" ht="20" customHeight="1">
      <x:c r="A26" s="2"/>
      <x:c r="B26" s="2"/>
      <x:c r="C26" s="2"/>
      <x:c r="D26" s="2"/>
      <x:c r="E26" s="2"/>
      <x:c r="F26" s="2"/>
      <x:c r="G26" s="2"/>
      <x:c r="H26" s="2"/>
      <x:c r="I26" s="2"/>
      <x:c r="J26" s="2"/>
      <x:c r="K26" s="2"/>
      <x:c r="L26" s="2"/>
      <x:c r="M26" s="2"/>
      <x:c r="N26" s="2"/>
      <x:c r="O26" s="2"/>
    </x:row>
    <x:row r="27" ht="20" customHeight="1">
      <x:c r="A27" s="2"/>
      <x:c r="B27" s="2"/>
      <x:c r="C27" s="11" t="str">
        <x:v>Driver</x:v>
      </x:c>
      <x:c r="D27" s="11" t="str">
        <x:v>Impact CAD</x:v>
      </x:c>
      <x:c r="E27" s="2"/>
      <x:c r="F27" s="2"/>
      <x:c r="G27" s="2"/>
      <x:c r="H27" s="2"/>
      <x:c r="I27" s="2"/>
      <x:c r="J27" s="2"/>
      <x:c r="K27" s="2"/>
      <x:c r="L27" s="2"/>
      <x:c r="M27" s="2"/>
      <x:c r="N27" s="2"/>
      <x:c r="O27" s="2"/>
    </x:row>
    <x:row r="28" ht="20" customHeight="1">
      <x:c r="A28" s="2"/>
      <x:c r="B28" s="2"/>
      <x:c r="C28" s="2" t="str">
        <x:v>Wholesale volume</x:v>
      </x:c>
      <x:c r="D28" s="41" t="n">
        <x:f>SUM(J28:O28)</x:f>
        <x:v>-21096</x:v>
      </x:c>
      <x:c r="E28" s="39"/>
      <x:c r="F28" s="39"/>
      <x:c r="G28" s="39"/>
      <x:c r="H28" s="39"/>
      <x:c r="I28" s="39"/>
      <x:c r="J28" s="40" t="n">
        <x:f>('Operating Model'!G43-'Operating Model'!G9)*('Operating Model'!G10-'Operating Model'!G11)</x:f>
        <x:v>-1836</x:v>
      </x:c>
      <x:c r="K28" s="40" t="n">
        <x:f>('Operating Model'!H43-'Operating Model'!H9)*('Operating Model'!H10-'Operating Model'!H11)</x:f>
        <x:v>-2448</x:v>
      </x:c>
      <x:c r="L28" s="40" t="n">
        <x:f>('Operating Model'!I43-'Operating Model'!I9)*('Operating Model'!I10-'Operating Model'!I11)</x:f>
        <x:v>-4104</x:v>
      </x:c>
      <x:c r="M28" s="40" t="n">
        <x:f>('Operating Model'!J43-'Operating Model'!J9)*('Operating Model'!J10-'Operating Model'!J11)</x:f>
        <x:v>-5760</x:v>
      </x:c>
      <x:c r="N28" s="40" t="n">
        <x:f>('Operating Model'!K43-'Operating Model'!K9)*('Operating Model'!K10-'Operating Model'!K11)</x:f>
        <x:v>-3780</x:v>
      </x:c>
      <x:c r="O28" s="40" t="n">
        <x:f>('Operating Model'!L43-'Operating Model'!L9)*('Operating Model'!L10-'Operating Model'!L11)</x:f>
        <x:v>-3168</x:v>
      </x:c>
    </x:row>
    <x:row r="29" ht="20" customHeight="1">
      <x:c r="A29" s="2"/>
      <x:c r="B29" s="2"/>
      <x:c r="C29" s="2" t="str">
        <x:v>Wholesale price / mix</x:v>
      </x:c>
      <x:c r="D29" s="41" t="n">
        <x:f>SUM(J29:O29)</x:f>
        <x:v>-14296.079999999956</x:v>
      </x:c>
      <x:c r="E29" s="39"/>
      <x:c r="F29" s="39"/>
      <x:c r="G29" s="39"/>
      <x:c r="H29" s="39"/>
      <x:c r="I29" s="39"/>
      <x:c r="J29" s="40" t="n">
        <x:f>'Operating Model'!G43*('Operating Model'!G44-'Operating Model'!G10)</x:f>
        <x:v>-2207.9999999999923</x:v>
      </x:c>
      <x:c r="K29" s="40" t="n">
        <x:f>'Operating Model'!H43*('Operating Model'!H44-'Operating Model'!H10)</x:f>
        <x:v>-2948.2699999999973</x:v>
      </x:c>
      <x:c r="L29" s="40" t="n">
        <x:f>'Operating Model'!I43*('Operating Model'!I44-'Operating Model'!I10)</x:f>
        <x:v>-4078.3800000000133</x:v>
      </x:c>
      <x:c r="M29" s="40" t="n">
        <x:f>'Operating Model'!J43*('Operating Model'!J44-'Operating Model'!J10)</x:f>
        <x:v>-2486.3999999999996</x:v>
      </x:c>
      <x:c r="N29" s="40" t="n">
        <x:f>'Operating Model'!K43*('Operating Model'!K44-'Operating Model'!K10)</x:f>
        <x:v>-1747.989999999986</x:v>
      </x:c>
      <x:c r="O29" s="40" t="n">
        <x:f>'Operating Model'!L43*('Operating Model'!L44-'Operating Model'!L10)</x:f>
        <x:v>-827.0399999999681</x:v>
      </x:c>
    </x:row>
    <x:row r="30" ht="20" customHeight="1">
      <x:c r="A30" s="2"/>
      <x:c r="B30" s="2"/>
      <x:c r="C30" s="2" t="str">
        <x:v>Wholesale unit cost / mix</x:v>
      </x:c>
      <x:c r="D30" s="41" t="n">
        <x:f>SUM(J30:O30)</x:f>
        <x:v>-21096.000000000025</x:v>
      </x:c>
      <x:c r="E30" s="39"/>
      <x:c r="F30" s="39"/>
      <x:c r="G30" s="39"/>
      <x:c r="H30" s="39"/>
      <x:c r="I30" s="39"/>
      <x:c r="J30" s="40" t="n">
        <x:f>-'Operating Model'!G43*('Operating Model'!G45-'Operating Model'!G11)</x:f>
        <x:v>-926.0700000000046</x:v>
      </x:c>
      <x:c r="K30" s="40" t="n">
        <x:f>-'Operating Model'!H43*('Operating Model'!H45-'Operating Model'!H11)</x:f>
        <x:v>-1404.4699999999982</x:v>
      </x:c>
      <x:c r="L30" s="40" t="n">
        <x:f>-'Operating Model'!I43*('Operating Model'!I45-'Operating Model'!I11)</x:f>
        <x:v>-3118.7400000000007</x:v>
      </x:c>
      <x:c r="M30" s="40" t="n">
        <x:f>-'Operating Model'!J43*('Operating Model'!J45-'Operating Model'!J11)</x:f>
        <x:v>-4838.440000000004</x:v>
      </x:c>
      <x:c r="N30" s="40" t="n">
        <x:f>-'Operating Model'!K43*('Operating Model'!K45-'Operating Model'!K11)</x:f>
        <x:v>-5849.990000000001</x:v>
      </x:c>
      <x:c r="O30" s="40" t="n">
        <x:f>-'Operating Model'!L43*('Operating Model'!L45-'Operating Model'!L11)</x:f>
        <x:v>-4958.290000000015</x:v>
      </x:c>
    </x:row>
    <x:row r="31" ht="20" customHeight="1">
      <x:c r="A31" s="2"/>
      <x:c r="B31" s="2"/>
      <x:c r="C31" s="2" t="str">
        <x:v>Online volume</x:v>
      </x:c>
      <x:c r="D31" s="41" t="n">
        <x:f>SUM(J31:O31)</x:f>
        <x:v>33048</x:v>
      </x:c>
      <x:c r="E31" s="39"/>
      <x:c r="F31" s="39"/>
      <x:c r="G31" s="39"/>
      <x:c r="H31" s="39"/>
      <x:c r="I31" s="39"/>
      <x:c r="J31" s="40" t="n">
        <x:f>('Operating Model'!G50-'Operating Model'!G16)*('Operating Model'!G17-'Operating Model'!G18)</x:f>
        <x:v>2618</x:v>
      </x:c>
      <x:c r="K31" s="40" t="n">
        <x:f>('Operating Model'!H50-'Operating Model'!H16)*('Operating Model'!H17-'Operating Model'!H18)</x:f>
        <x:v>3706</x:v>
      </x:c>
      <x:c r="L31" s="40" t="n">
        <x:f>('Operating Model'!I50-'Operating Model'!I16)*('Operating Model'!I17-'Operating Model'!I18)</x:f>
        <x:v>5168</x:v>
      </x:c>
      <x:c r="M31" s="40" t="n">
        <x:f>('Operating Model'!J50-'Operating Model'!J16)*('Operating Model'!J17-'Operating Model'!J18)</x:f>
        <x:v>7616</x:v>
      </x:c>
      <x:c r="N31" s="40" t="n">
        <x:f>('Operating Model'!K50-'Operating Model'!K16)*('Operating Model'!K17-'Operating Model'!K18)</x:f>
        <x:v>7072</x:v>
      </x:c>
      <x:c r="O31" s="40" t="n">
        <x:f>('Operating Model'!L50-'Operating Model'!L16)*('Operating Model'!L17-'Operating Model'!L18)</x:f>
        <x:v>6868</x:v>
      </x:c>
    </x:row>
    <x:row r="32" ht="20" customHeight="1">
      <x:c r="A32" s="2"/>
      <x:c r="B32" s="2"/>
      <x:c r="C32" s="2" t="str">
        <x:v>Online price / mix</x:v>
      </x:c>
      <x:c r="D32" s="41" t="n">
        <x:f>SUM(J32:O32)</x:f>
        <x:v>-20072.640000000003</x:v>
      </x:c>
      <x:c r="E32" s="39"/>
      <x:c r="F32" s="39"/>
      <x:c r="G32" s="39"/>
      <x:c r="H32" s="39"/>
      <x:c r="I32" s="39"/>
      <x:c r="J32" s="40" t="n">
        <x:f>'Operating Model'!G50*('Operating Model'!G51-'Operating Model'!G17)</x:f>
        <x:v>-1777.8300000000063</x:v>
      </x:c>
      <x:c r="K32" s="40" t="n">
        <x:f>'Operating Model'!H50*('Operating Model'!H51-'Operating Model'!H17)</x:f>
        <x:v>-2402.7599999999993</x:v>
      </x:c>
      <x:c r="L32" s="40" t="n">
        <x:f>'Operating Model'!I50*('Operating Model'!I51-'Operating Model'!I17)</x:f>
        <x:v>-3280.280000000008</x:v>
      </x:c>
      <x:c r="M32" s="40" t="n">
        <x:f>'Operating Model'!J50*('Operating Model'!J51-'Operating Model'!J17)</x:f>
        <x:v>-4779.4999999999945</x:v>
      </x:c>
      <x:c r="N32" s="40" t="n">
        <x:f>'Operating Model'!K50*('Operating Model'!K51-'Operating Model'!K17)</x:f>
        <x:v>-4149.090000000002</x:v>
      </x:c>
      <x:c r="O32" s="40" t="n">
        <x:f>'Operating Model'!L50*('Operating Model'!L51-'Operating Model'!L17)</x:f>
        <x:v>-3683.1799999999926</x:v>
      </x:c>
    </x:row>
    <x:row r="33" ht="20" customHeight="1">
      <x:c r="A33" s="2"/>
      <x:c r="B33" s="2"/>
      <x:c r="C33" s="2" t="str">
        <x:v>Online unit cost / mix</x:v>
      </x:c>
      <x:c r="D33" s="41" t="n">
        <x:f>SUM(J33:O33)</x:f>
        <x:v>-4932.2400000000025</x:v>
      </x:c>
      <x:c r="E33" s="39"/>
      <x:c r="F33" s="39"/>
      <x:c r="G33" s="39"/>
      <x:c r="H33" s="39"/>
      <x:c r="I33" s="39"/>
      <x:c r="J33" s="40" t="n">
        <x:f>-'Operating Model'!G50*('Operating Model'!G52-'Operating Model'!G18)</x:f>
        <x:v>89.02000000000535</x:v>
      </x:c>
      <x:c r="K33" s="40" t="n">
        <x:f>-'Operating Model'!H50*('Operating Model'!H52-'Operating Model'!H18)</x:f>
        <x:v>-365.5200000000017</x:v>
      </x:c>
      <x:c r="L33" s="40" t="n">
        <x:f>-'Operating Model'!I50*('Operating Model'!I52-'Operating Model'!I18)</x:f>
        <x:v>-681.6000000000004</x:v>
      </x:c>
      <x:c r="M33" s="40" t="n">
        <x:f>-'Operating Model'!J50*('Operating Model'!J52-'Operating Model'!J18)</x:f>
        <x:v>-1602.1199999999965</x:v>
      </x:c>
      <x:c r="N33" s="40" t="n">
        <x:f>-'Operating Model'!K50*('Operating Model'!K52-'Operating Model'!K18)</x:f>
        <x:v>-1303.380000000006</x:v>
      </x:c>
      <x:c r="O33" s="40" t="n">
        <x:f>-'Operating Model'!L50*('Operating Model'!L52-'Operating Model'!L18)</x:f>
        <x:v>-1068.6400000000037</x:v>
      </x:c>
    </x:row>
    <x:row r="34" ht="20" customHeight="1">
      <x:c r="A34" s="2"/>
      <x:c r="B34" s="2"/>
      <x:c r="C34" s="2" t="str">
        <x:v>Payroll</x:v>
      </x:c>
      <x:c r="D34" s="41" t="n">
        <x:f>SUM(J34:O34)</x:f>
        <x:v>-2877.8700000000026</x:v>
      </x:c>
      <x:c r="E34" s="39"/>
      <x:c r="F34" s="39"/>
      <x:c r="G34" s="39"/>
      <x:c r="H34" s="39"/>
      <x:c r="I34" s="39"/>
      <x:c r="J34" s="40" t="n">
        <x:f>'Operating Model'!G31-'Operating Model'!G65</x:f>
        <x:v>0</x:v>
      </x:c>
      <x:c r="K34" s="40" t="n">
        <x:f>'Operating Model'!H31-'Operating Model'!H65</x:f>
        <x:v>0</x:v>
      </x:c>
      <x:c r="L34" s="40" t="n">
        <x:f>'Operating Model'!I31-'Operating Model'!I65</x:f>
        <x:v>-442.75</x:v>
      </x:c>
      <x:c r="M34" s="40" t="n">
        <x:f>'Operating Model'!J31-'Operating Model'!J65</x:f>
        <x:v>-664.1200000000026</x:v>
      </x:c>
      <x:c r="N34" s="40" t="n">
        <x:f>'Operating Model'!K31-'Operating Model'!K65</x:f>
        <x:v>-885.5</x:v>
      </x:c>
      <x:c r="O34" s="40" t="n">
        <x:f>'Operating Model'!L31-'Operating Model'!L65</x:f>
        <x:v>-885.5</x:v>
      </x:c>
    </x:row>
    <x:row r="35" ht="20" customHeight="1">
      <x:c r="A35" s="2"/>
      <x:c r="B35" s="2"/>
      <x:c r="C35" s="2" t="str">
        <x:v>Fulfilment</x:v>
      </x:c>
      <x:c r="D35" s="41" t="n">
        <x:f>SUM(J35:O35)</x:f>
        <x:v>-6557.399999999998</x:v>
      </x:c>
      <x:c r="E35" s="39"/>
      <x:c r="F35" s="39"/>
      <x:c r="G35" s="39"/>
      <x:c r="H35" s="39"/>
      <x:c r="I35" s="39"/>
      <x:c r="J35" s="40" t="n">
        <x:f>'Operating Model'!G34-'Operating Model'!G68</x:f>
        <x:v>-698.8999999999996</x:v>
      </x:c>
      <x:c r="K35" s="40" t="n">
        <x:f>'Operating Model'!H34-'Operating Model'!H68</x:f>
        <x:v>-838.7999999999993</x:v>
      </x:c>
      <x:c r="L35" s="40" t="n">
        <x:f>'Operating Model'!I34-'Operating Model'!I68</x:f>
        <x:v>-999.3999999999996</x:v>
      </x:c>
      <x:c r="M35" s="40" t="n">
        <x:f>'Operating Model'!J34-'Operating Model'!J68</x:f>
        <x:v>-1284.7999999999993</x:v>
      </x:c>
      <x:c r="N35" s="40" t="n">
        <x:f>'Operating Model'!K34-'Operating Model'!K68</x:f>
        <x:v>-1349.1000000000004</x:v>
      </x:c>
      <x:c r="O35" s="40" t="n">
        <x:f>'Operating Model'!L34-'Operating Model'!L68</x:f>
        <x:v>-1386.3999999999996</x:v>
      </x:c>
    </x:row>
    <x:row r="36" ht="20" customHeight="1">
      <x:c r="A36" s="2"/>
      <x:c r="B36" s="2"/>
      <x:c r="C36" s="2" t="str">
        <x:v>Marketing</x:v>
      </x:c>
      <x:c r="D36" s="41" t="n">
        <x:f>SUM(J36:O36)</x:f>
        <x:v>-21785.29</x:v>
      </x:c>
      <x:c r="E36" s="39"/>
      <x:c r="F36" s="39"/>
      <x:c r="G36" s="39"/>
      <x:c r="H36" s="39"/>
      <x:c r="I36" s="39"/>
      <x:c r="J36" s="40" t="n">
        <x:f>'Operating Model'!G36-'Operating Model'!G70</x:f>
        <x:v>-1274.3400000000001</x:v>
      </x:c>
      <x:c r="K36" s="40" t="n">
        <x:f>'Operating Model'!H36-'Operating Model'!H70</x:f>
        <x:v>-2465.970000000001</x:v>
      </x:c>
      <x:c r="L36" s="40" t="n">
        <x:f>'Operating Model'!I36-'Operating Model'!I70</x:f>
        <x:v>-4022.3600000000006</x:v>
      </x:c>
      <x:c r="M36" s="40" t="n">
        <x:f>'Operating Model'!J36-'Operating Model'!J70</x:f>
        <x:v>-5246.700000000001</x:v>
      </x:c>
      <x:c r="N36" s="40" t="n">
        <x:f>'Operating Model'!K36-'Operating Model'!K70</x:f>
        <x:v>-4604.84</x:v>
      </x:c>
      <x:c r="O36" s="40" t="n">
        <x:f>'Operating Model'!L36-'Operating Model'!L70</x:f>
        <x:v>-4171.08</x:v>
      </x:c>
    </x:row>
    <x:row r="37" ht="20" customHeight="1">
      <x:c r="A37" s="2"/>
      <x:c r="B37" s="2"/>
      <x:c r="C37" s="2" t="str">
        <x:v>Fixed operating expenses</x:v>
      </x:c>
      <x:c r="D37" s="41" t="n">
        <x:f>SUM(J37:O37)</x:f>
        <x:v>-1800</x:v>
      </x:c>
      <x:c r="E37" s="39"/>
      <x:c r="F37" s="39"/>
      <x:c r="G37" s="39"/>
      <x:c r="H37" s="39"/>
      <x:c r="I37" s="39"/>
      <x:c r="J37" s="40" t="n">
        <x:f>'Operating Model'!G37-'Operating Model'!G71</x:f>
        <x:v>0</x:v>
      </x:c>
      <x:c r="K37" s="40" t="n">
        <x:f>'Operating Model'!H37-'Operating Model'!H71</x:f>
        <x:v>-100</x:v>
      </x:c>
      <x:c r="L37" s="40" t="n">
        <x:f>'Operating Model'!I37-'Operating Model'!I71</x:f>
        <x:v>-300</x:v>
      </x:c>
      <x:c r="M37" s="40" t="n">
        <x:f>'Operating Model'!J37-'Operating Model'!J71</x:f>
        <x:v>-500</x:v>
      </x:c>
      <x:c r="N37" s="40" t="n">
        <x:f>'Operating Model'!K37-'Operating Model'!K71</x:f>
        <x:v>-500</x:v>
      </x:c>
      <x:c r="O37" s="40" t="n">
        <x:f>'Operating Model'!L37-'Operating Model'!L71</x:f>
        <x:v>-400</x:v>
      </x:c>
    </x:row>
    <x:row r="38" ht="20" customHeight="1">
      <x:c r="A38" s="2"/>
      <x:c r="B38" s="2"/>
      <x:c r="C38" s="2"/>
      <x:c r="D38" s="2"/>
      <x:c r="E38" s="2"/>
      <x:c r="F38" s="2"/>
      <x:c r="G38" s="2"/>
      <x:c r="H38" s="2"/>
      <x:c r="I38" s="2"/>
      <x:c r="J38" s="2"/>
      <x:c r="K38" s="2"/>
      <x:c r="L38" s="2"/>
      <x:c r="M38" s="2"/>
      <x:c r="N38" s="2"/>
      <x:c r="O38" s="2"/>
    </x:row>
    <x:row r="39" ht="20" customHeight="1">
      <x:c r="A39" s="2"/>
      <x:c r="B39" s="2"/>
      <x:c r="C39" s="57" t="str">
        <x:v>Total explained EBITDA variance</x:v>
      </x:c>
      <x:c r="D39" s="76" t="n">
        <x:f>SUM(D28:D37)</x:f>
        <x:v>-81465.51999999999</x:v>
      </x:c>
      <x:c r="E39" s="2"/>
      <x:c r="F39" s="2"/>
      <x:c r="G39" s="2"/>
      <x:c r="H39" s="2"/>
      <x:c r="I39" s="2"/>
      <x:c r="J39" s="2"/>
      <x:c r="K39" s="2"/>
      <x:c r="L39" s="2"/>
      <x:c r="M39" s="2"/>
      <x:c r="N39" s="2"/>
      <x:c r="O39" s="2"/>
    </x:row>
    <x:row r="40" ht="20" customHeight="1">
      <x:c r="A40" s="2"/>
      <x:c r="B40" s="2"/>
      <x:c r="C40" s="2"/>
      <x:c r="D40" s="2"/>
      <x:c r="E40" s="2"/>
      <x:c r="F40" s="2"/>
      <x:c r="G40" s="2"/>
      <x:c r="H40" s="2"/>
      <x:c r="I40" s="2"/>
      <x:c r="J40" s="2"/>
      <x:c r="K40" s="2"/>
      <x:c r="L40" s="2"/>
      <x:c r="M40" s="2"/>
      <x:c r="N40" s="2"/>
      <x:c r="O40" s="2"/>
    </x:row>
    <x:row r="41" ht="20" customHeight="1">
      <x:c r="A41" s="2"/>
      <x:c r="B41" s="2"/>
      <x:c r="C41" s="2"/>
      <x:c r="D41" s="2"/>
      <x:c r="E41" s="2"/>
      <x:c r="F41" s="2"/>
      <x:c r="G41" s="2"/>
      <x:c r="H41" s="2"/>
      <x:c r="I41" s="2"/>
      <x:c r="J41" s="2"/>
      <x:c r="K41" s="2"/>
      <x:c r="L41" s="2"/>
      <x:c r="M41" s="2"/>
      <x:c r="N41" s="2"/>
      <x:c r="O41" s="2"/>
    </x:row>
    <x:row r="42" ht="20" customHeight="1">
      <x:c r="A42" s="2"/>
      <x:c r="B42" s="2"/>
      <x:c r="C42" s="53" t="str">
        <x:v>Reconciliation checks</x:v>
      </x:c>
      <x:c r="D42" s="2"/>
      <x:c r="E42" s="2"/>
      <x:c r="F42" s="2"/>
      <x:c r="G42" s="2"/>
      <x:c r="H42" s="2"/>
      <x:c r="I42" s="2"/>
      <x:c r="J42" s="2"/>
      <x:c r="K42" s="2"/>
      <x:c r="L42" s="2"/>
      <x:c r="M42" s="2"/>
      <x:c r="N42" s="2"/>
      <x:c r="O42" s="2"/>
    </x:row>
    <x:row r="43" ht="20" customHeight="1">
      <x:c r="A43" s="2"/>
      <x:c r="B43" s="2"/>
      <x:c r="C43" s="2"/>
      <x:c r="D43" s="2"/>
      <x:c r="E43" s="2"/>
      <x:c r="F43" s="2"/>
      <x:c r="G43" s="2"/>
      <x:c r="H43" s="2"/>
      <x:c r="I43" s="2"/>
      <x:c r="J43" s="2"/>
      <x:c r="K43" s="2"/>
      <x:c r="L43" s="2"/>
      <x:c r="M43" s="2"/>
      <x:c r="N43" s="2"/>
      <x:c r="O43" s="2"/>
    </x:row>
    <x:row r="44" ht="20" customHeight="1">
      <x:c r="A44" s="2"/>
      <x:c r="B44" s="2"/>
      <x:c r="C44" s="2" t="str">
        <x:v>Unexplained EBITDA variance</x:v>
      </x:c>
      <x:c r="D44" s="77" t="n">
        <x:f>ROUND(D39-F19,2)</x:f>
        <x:v>0</x:v>
      </x:c>
      <x:c r="E44" s="2"/>
      <x:c r="F44" s="2"/>
      <x:c r="G44" s="2"/>
      <x:c r="H44" s="2"/>
      <x:c r="I44" s="2"/>
      <x:c r="J44" s="2"/>
      <x:c r="K44" s="2"/>
      <x:c r="L44" s="2"/>
      <x:c r="M44" s="2"/>
      <x:c r="N44" s="2"/>
      <x:c r="O44" s="2"/>
    </x:row>
    <x:row r="45" ht="20" customHeight="1">
      <x:c r="A45" s="2"/>
      <x:c r="B45" s="2"/>
      <x:c r="C45" s="2" t="str">
        <x:v>Revenue versus source controls</x:v>
      </x:c>
      <x:c r="D45" s="77" t="n">
        <x:f>ROUND('Operating Model'!E57-'Actuals'!D60,2)</x:f>
        <x:v>0</x:v>
      </x:c>
      <x:c r="E45" s="2"/>
      <x:c r="F45" s="2"/>
      <x:c r="G45" s="2"/>
      <x:c r="H45" s="2"/>
      <x:c r="I45" s="2"/>
      <x:c r="J45" s="2"/>
      <x:c r="K45" s="2"/>
      <x:c r="L45" s="2"/>
      <x:c r="M45" s="2"/>
      <x:c r="N45" s="2"/>
      <x:c r="O45" s="2"/>
    </x:row>
    <x:row r="46" ht="20" customHeight="1">
      <x:c r="A46" s="2"/>
      <x:c r="B46" s="2"/>
      <x:c r="C46" s="2" t="str">
        <x:v>COGS versus source controls</x:v>
      </x:c>
      <x:c r="D46" s="77" t="n">
        <x:f>ROUND('Operating Model'!E58-'Actuals'!E60,2)</x:f>
        <x:v>0</x:v>
      </x:c>
      <x:c r="E46" s="2"/>
      <x:c r="F46" s="2"/>
      <x:c r="G46" s="2"/>
      <x:c r="H46" s="2"/>
      <x:c r="I46" s="2"/>
      <x:c r="J46" s="2"/>
      <x:c r="K46" s="2"/>
      <x:c r="L46" s="2"/>
      <x:c r="M46" s="2"/>
      <x:c r="N46" s="2"/>
      <x:c r="O46" s="2"/>
    </x:row>
    <x:row r="47" ht="20" customHeight="1">
      <x:c r="A47" s="2"/>
      <x:c r="B47" s="2"/>
      <x:c r="C47" s="2" t="str">
        <x:v>Opex versus source controls</x:v>
      </x:c>
      <x:c r="D47" s="77" t="n">
        <x:f>ROUND('Operating Model'!E72-SUM('Actuals'!F60:I60),2)</x:f>
        <x:v>0</x:v>
      </x:c>
      <x:c r="E47" s="2"/>
      <x:c r="F47" s="2"/>
      <x:c r="G47" s="2"/>
      <x:c r="H47" s="2"/>
      <x:c r="I47" s="2"/>
      <x:c r="J47" s="2"/>
      <x:c r="K47" s="2"/>
      <x:c r="L47" s="2"/>
      <x:c r="M47" s="2"/>
      <x:c r="N47" s="2"/>
      <x:c r="O47" s="2"/>
    </x:row>
    <x:row r="48" ht="20" customHeight="1">
      <x:c r="A48" s="2"/>
      <x:c r="B48" s="2"/>
      <x:c r="C48" s="2" t="str">
        <x:v>Actual sales records less expected 36</x:v>
      </x:c>
      <x:c r="D48" s="77" t="n">
        <x:f>ROUND(COUNTA('Actuals'!C9:C44)-36,2)</x:f>
        <x:v>0</x:v>
      </x:c>
      <x:c r="E48" s="2"/>
      <x:c r="F48" s="2"/>
      <x:c r="G48" s="2"/>
      <x:c r="H48" s="2"/>
      <x:c r="I48" s="2"/>
      <x:c r="J48" s="2"/>
      <x:c r="K48" s="2"/>
      <x:c r="L48" s="2"/>
      <x:c r="M48" s="2"/>
      <x:c r="N48" s="2"/>
      <x:c r="O48" s="2"/>
    </x:row>
    <x:row r="49" ht="20" customHeight="1">
      <x:c r="A49" s="2"/>
      <x:c r="B49" s="2"/>
      <x:c r="C49" s="2"/>
      <x:c r="D49" s="2"/>
      <x:c r="E49" s="2"/>
      <x:c r="F49" s="2"/>
      <x:c r="G49" s="2"/>
      <x:c r="H49" s="2"/>
      <x:c r="I49" s="2"/>
      <x:c r="J49" s="2"/>
      <x:c r="K49" s="2"/>
      <x:c r="L49" s="2"/>
      <x:c r="M49" s="2"/>
      <x:c r="N49" s="2"/>
      <x:c r="O49" s="2"/>
    </x:row>
    <x:row r="50" ht="20" customHeight="1">
      <x:c r="A50" s="2"/>
      <x:c r="B50" s="2"/>
      <x:c r="C50" s="2"/>
      <x:c r="D50" s="2"/>
      <x:c r="E50" s="2"/>
      <x:c r="F50" s="2"/>
      <x:c r="G50" s="2"/>
      <x:c r="H50" s="2"/>
      <x:c r="I50" s="2"/>
      <x:c r="J50" s="2"/>
      <x:c r="K50" s="2"/>
      <x:c r="L50" s="2"/>
      <x:c r="M50" s="2"/>
      <x:c r="N50" s="2"/>
      <x:c r="O50" s="2"/>
    </x:row>
    <x:row r="51" ht="20" customHeight="1">
      <x:c r="A51" s="2"/>
      <x:c r="B51" s="2"/>
      <x:c r="C51" s="2" t="str">
        <x:v>A zero difference means the calculation reconciles. No forecast or output depends on these check cells.</x:v>
      </x:c>
      <x:c r="D51" s="2"/>
      <x:c r="E51" s="2"/>
      <x:c r="F51" s="2"/>
      <x:c r="G51" s="2"/>
      <x:c r="H51" s="2"/>
      <x:c r="I51" s="2"/>
      <x:c r="J51" s="2"/>
      <x:c r="K51" s="2"/>
      <x:c r="L51" s="2"/>
      <x:c r="M51" s="2"/>
      <x:c r="N51" s="2"/>
      <x:c r="O51" s="2"/>
    </x:row>
    <x:row r="52" ht="20" customHeight="1">
      <x:c r="A52" s="2"/>
      <x:c r="B52" s="2"/>
      <x:c r="C52" s="2" t="str">
        <x:v>Source controls check consistency with the supplied synthetic dataset, not external verification.</x:v>
      </x:c>
      <x:c r="D52" s="2"/>
      <x:c r="E52" s="2"/>
      <x:c r="F52" s="2"/>
      <x:c r="G52" s="2"/>
      <x:c r="H52" s="2"/>
      <x:c r="I52" s="2"/>
      <x:c r="J52" s="2"/>
      <x:c r="K52" s="2"/>
      <x:c r="L52" s="2"/>
      <x:c r="M52" s="2"/>
      <x:c r="N52" s="2"/>
      <x:c r="O52" s="2"/>
    </x:row>
    <x:row r="53" ht="20" customHeight="1">
      <x:c r="A53" s="2"/>
      <x:c r="B53" s="2"/>
      <x:c r="C53" s="2"/>
      <x:c r="D53" s="2"/>
      <x:c r="E53" s="2"/>
      <x:c r="F53" s="2"/>
      <x:c r="G53" s="2"/>
      <x:c r="H53" s="2"/>
      <x:c r="I53" s="2"/>
      <x:c r="J53" s="2"/>
      <x:c r="K53" s="2"/>
      <x:c r="L53" s="2"/>
      <x:c r="M53" s="2"/>
      <x:c r="N53" s="2"/>
      <x:c r="O53" s="2"/>
    </x:row>
    <x:row r="54" ht="20" customHeight="1">
      <x:c r="A54" s="2"/>
      <x:c r="B54" s="2"/>
      <x:c r="C54" s="2"/>
      <x:c r="D54" s="2"/>
      <x:c r="E54" s="2"/>
      <x:c r="F54" s="2"/>
      <x:c r="G54" s="2"/>
      <x:c r="H54" s="2"/>
      <x:c r="I54" s="2"/>
      <x:c r="J54" s="2"/>
      <x:c r="K54" s="2"/>
      <x:c r="L54" s="2"/>
      <x:c r="M54" s="2"/>
      <x:c r="N54" s="2"/>
      <x:c r="O54" s="2"/>
    </x:row>
    <x:row r="55" ht="20" customHeight="1">
      <x:c r="A55" s="2"/>
      <x:c r="B55" s="2"/>
      <x:c r="C55" s="2"/>
      <x:c r="D55" s="2"/>
      <x:c r="E55" s="2"/>
      <x:c r="F55" s="2"/>
      <x:c r="G55" s="2"/>
      <x:c r="H55" s="2"/>
      <x:c r="I55" s="2"/>
      <x:c r="J55" s="2"/>
      <x:c r="K55" s="2"/>
      <x:c r="L55" s="2"/>
      <x:c r="M55" s="2"/>
      <x:c r="N55" s="2"/>
      <x:c r="O55" s="2"/>
    </x:row>
    <x:row r="56" ht="20" customHeight="1">
      <x:c r="A56" s="2"/>
      <x:c r="B56" s="2"/>
      <x:c r="C56" s="2"/>
      <x:c r="D56" s="2"/>
      <x:c r="E56" s="2"/>
      <x:c r="F56" s="2"/>
      <x:c r="G56" s="2"/>
      <x:c r="H56" s="2"/>
      <x:c r="I56" s="2"/>
      <x:c r="J56" s="2"/>
      <x:c r="K56" s="2"/>
      <x:c r="L56" s="2"/>
      <x:c r="M56" s="2"/>
      <x:c r="N56" s="2"/>
      <x:c r="O56" s="2"/>
    </x:row>
  </x:sheetData>
  <x:sheetProtection password="BE0E" sheet="1" objects="1" scenarios="1" formatCells="1" formatColumns="1" formatRows="1" insertColumns="1" insertRows="1" insertHyperlinks="1" deleteColumns="1" deleteRows="1" selectLockedCells="0" sort="1" autoFilter="1" pivotTables="1" selectUnlockedCells="0"/>
  <x:conditionalFormatting sqref="F8:F8">
    <x:cfRule type="cellIs" dxfId="2" priority="1" operator="lessThan">
      <x:formula>0</x:formula>
    </x:cfRule>
  </x:conditionalFormatting>
  <x:conditionalFormatting sqref="F9:F9">
    <x:cfRule type="cellIs" dxfId="3" priority="2" operator="greaterThan">
      <x:formula>0</x:formula>
    </x:cfRule>
  </x:conditionalFormatting>
  <x:conditionalFormatting sqref="F10:F10">
    <x:cfRule type="cellIs" dxfId="4" priority="3" operator="lessThan">
      <x:formula>0</x:formula>
    </x:cfRule>
  </x:conditionalFormatting>
  <x:conditionalFormatting sqref="F11:F11">
    <x:cfRule type="cellIs" dxfId="5" priority="4" operator="lessThan">
      <x:formula>0</x:formula>
    </x:cfRule>
  </x:conditionalFormatting>
  <x:conditionalFormatting sqref="F13:F13">
    <x:cfRule type="cellIs" dxfId="6" priority="5" operator="greaterThan">
      <x:formula>0</x:formula>
    </x:cfRule>
  </x:conditionalFormatting>
  <x:conditionalFormatting sqref="F14:F14">
    <x:cfRule type="cellIs" dxfId="7" priority="6" operator="greaterThan">
      <x:formula>0</x:formula>
    </x:cfRule>
  </x:conditionalFormatting>
  <x:conditionalFormatting sqref="F15:F15">
    <x:cfRule type="cellIs" dxfId="8" priority="7" operator="greaterThan">
      <x:formula>0</x:formula>
    </x:cfRule>
  </x:conditionalFormatting>
  <x:conditionalFormatting sqref="F16:F16">
    <x:cfRule type="cellIs" dxfId="9" priority="8" operator="greaterThan">
      <x:formula>0</x:formula>
    </x:cfRule>
  </x:conditionalFormatting>
  <x:conditionalFormatting sqref="F17:F17">
    <x:cfRule type="cellIs" dxfId="10" priority="9" operator="greaterThan">
      <x:formula>0</x:formula>
    </x:cfRule>
  </x:conditionalFormatting>
  <x:conditionalFormatting sqref="F19:F19">
    <x:cfRule type="cellIs" dxfId="11" priority="10" operator="lessThan">
      <x:formula>0</x:formula>
    </x:cfRule>
  </x:conditionalFormatting>
  <x:conditionalFormatting sqref="F20:F20">
    <x:cfRule type="cellIs" dxfId="12" priority="11" operator="lessThan">
      <x:formula>0</x:formula>
    </x:cfRule>
  </x:conditionalFormatting>
  <x:conditionalFormatting sqref="D44:D44">
    <x:cfRule type="expression" dxfId="13" priority="12">
      <x:formula>ABS(D44)&gt;0.01</x:formula>
    </x:cfRule>
  </x:conditionalFormatting>
  <x:conditionalFormatting sqref="D45:D45">
    <x:cfRule type="expression" dxfId="14" priority="13">
      <x:formula>ABS(D45)&gt;0.01</x:formula>
    </x:cfRule>
  </x:conditionalFormatting>
  <x:conditionalFormatting sqref="D46:D46">
    <x:cfRule type="expression" dxfId="15" priority="14">
      <x:formula>ABS(D46)&gt;0.01</x:formula>
    </x:cfRule>
  </x:conditionalFormatting>
  <x:conditionalFormatting sqref="D47:D47">
    <x:cfRule type="expression" dxfId="16" priority="15">
      <x:formula>ABS(D47)&gt;0.01</x:formula>
    </x:cfRule>
  </x:conditionalFormatting>
  <x:conditionalFormatting sqref="D48:D48">
    <x:cfRule type="expression" dxfId="17" priority="16">
      <x:formula>ABS(D48)&gt;0.01</x:formula>
    </x:cfRule>
  </x:conditionalFormatting>
  <x:pageMargins left="0.7" right="0.7" top="0.75" bottom="0.75" header="0.3" footer="0.3"/>
</x:worksheet>
</file>

<file path=xl/worksheets/sheet5.xml><?xml version="1.0" encoding="utf-8"?>
<x:worksheet xmlns:x="http://schemas.openxmlformats.org/spreadsheetml/2006/main">
  <x:sheetPr>
    <x:tabColor rgb="FFF7EEDC"/>
  </x:sheetPr>
  <x:sheetViews>
    <x:sheetView showGridLines="0" workbookViewId="0">
      <x:pane ySplit="8" topLeftCell="A9" activePane="bottomLeft" state="frozen"/>
    </x:sheetView>
  </x:sheetViews>
  <x:sheetFormatPr defaultRowHeight="15"/>
  <x:cols>
    <x:col min="1" max="1" width="2.200000047683716" hidden="0" customWidth="1"/>
    <x:col min="2" max="2" width="2.200000047683716" hidden="0" customWidth="1"/>
    <x:col min="3" max="3" width="17" hidden="0" customWidth="1"/>
    <x:col min="4" max="4" width="16" hidden="0" customWidth="1"/>
    <x:col min="5" max="5" width="17"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s>
  <x:sheetData>
    <x:row r="1" ht="20" customHeight="1">
      <x:c r="A1" s="2"/>
      <x:c r="B1" s="2"/>
      <x:c r="C1" s="2"/>
      <x:c r="D1" s="2"/>
      <x:c r="E1" s="2"/>
      <x:c r="F1" s="2"/>
      <x:c r="G1" s="2"/>
      <x:c r="H1" s="2"/>
      <x:c r="I1" s="2"/>
      <x:c r="J1" s="2"/>
      <x:c r="K1" s="2"/>
    </x:row>
    <x:row r="2" ht="29" customHeight="1">
      <x:c r="A2" s="2"/>
      <x:c r="B2" s="2"/>
      <x:c r="C2" s="3" t="str">
        <x:v>Synthetic actuals</x:v>
      </x:c>
      <x:c r="D2" s="2"/>
      <x:c r="E2" s="2"/>
      <x:c r="F2" s="2"/>
      <x:c r="G2" s="2"/>
      <x:c r="H2" s="2"/>
      <x:c r="I2" s="2"/>
      <x:c r="J2" s="2"/>
      <x:c r="K2" s="2"/>
    </x:row>
    <x:row r="3" ht="23" customHeight="1">
      <x:c r="A3" s="2"/>
      <x:c r="B3" s="2"/>
      <x:c r="C3" s="5" t="str">
        <x:v>Source: generated for this fictional case. Monthly product/channel totals in CAD.</x:v>
      </x:c>
      <x:c r="D3" s="4"/>
      <x:c r="E3" s="4"/>
      <x:c r="F3" s="4"/>
      <x:c r="G3" s="4"/>
      <x:c r="H3" s="4"/>
      <x:c r="I3" s="4"/>
      <x:c r="J3" s="4"/>
      <x:c r="K3" s="4"/>
    </x:row>
    <x:row r="4" ht="20" customHeight="1">
      <x:c r="A4" s="2"/>
      <x:c r="B4" s="2"/>
      <x:c r="C4" s="2"/>
      <x:c r="D4" s="2"/>
      <x:c r="E4" s="2"/>
      <x:c r="F4" s="2"/>
      <x:c r="G4" s="2"/>
      <x:c r="H4" s="2"/>
      <x:c r="I4" s="2"/>
      <x:c r="J4" s="2"/>
      <x:c r="K4" s="2"/>
    </x:row>
    <x:row r="5" ht="20" customHeight="1">
      <x:c r="A5" s="2"/>
      <x:c r="B5" s="2"/>
      <x:c r="C5" s="2" t="str">
        <x:v>Case selected:</x:v>
      </x:c>
      <x:c r="D5" s="8" t="str">
        <x:f>'Assumptions'!E5</x:f>
        <x:v>Base</x:v>
      </x:c>
      <x:c r="E5" s="2"/>
      <x:c r="F5" s="2"/>
      <x:c r="G5" s="2" t="str">
        <x:v>Actuals through</x:v>
      </x:c>
      <x:c r="H5" s="2"/>
      <x:c r="I5" s="9" t="n">
        <x:v>46203</x:v>
      </x:c>
      <x:c r="J5" s="2"/>
      <x:c r="K5" s="2"/>
    </x:row>
    <x:row r="6" ht="20" customHeight="1">
      <x:c r="A6" s="2"/>
      <x:c r="B6" s="2"/>
      <x:c r="C6" s="2"/>
      <x:c r="D6" s="2"/>
      <x:c r="E6" s="2"/>
      <x:c r="F6" s="2"/>
      <x:c r="G6" s="2"/>
      <x:c r="H6" s="2"/>
      <x:c r="I6" s="2"/>
      <x:c r="J6" s="2"/>
      <x:c r="K6" s="2"/>
    </x:row>
    <x:row r="7" ht="20" customHeight="1">
      <x:c r="A7" s="2"/>
      <x:c r="B7" s="2"/>
      <x:c r="C7" s="2"/>
      <x:c r="D7" s="2"/>
      <x:c r="E7" s="2"/>
      <x:c r="F7" s="2"/>
      <x:c r="G7" s="2"/>
      <x:c r="H7" s="2"/>
      <x:c r="I7" s="2"/>
      <x:c r="J7" s="2"/>
      <x:c r="K7" s="2"/>
    </x:row>
    <x:row r="8" ht="32" customHeight="1">
      <x:c r="A8" s="2"/>
      <x:c r="B8" s="2"/>
      <x:c r="C8" s="12" t="str">
        <x:v>Month</x:v>
      </x:c>
      <x:c r="D8" s="12" t="str">
        <x:v>Channel</x:v>
      </x:c>
      <x:c r="E8" s="12" t="str">
        <x:v>Product group</x:v>
      </x:c>
      <x:c r="F8" s="12" t="str">
        <x:v>Units</x:v>
      </x:c>
      <x:c r="G8" s="12" t="str">
        <x:v>Net price / unit</x:v>
      </x:c>
      <x:c r="H8" s="12" t="str">
        <x:v>Unit cost</x:v>
      </x:c>
      <x:c r="I8" s="12" t="str">
        <x:v>Net revenue</x:v>
      </x:c>
      <x:c r="J8" s="12" t="str">
        <x:v>COGS</x:v>
      </x:c>
      <x:c r="K8" s="12" t="str">
        <x:v>Record eligible</x:v>
      </x:c>
    </x:row>
    <x:row r="9" ht="20" customHeight="1">
      <x:c r="A9" s="2"/>
      <x:c r="B9" s="2"/>
      <x:c r="C9" s="18" t="n">
        <x:v>46023</x:v>
      </x:c>
      <x:c r="D9" s="2" t="str">
        <x:v>Wholesale</x:v>
      </x:c>
      <x:c r="E9" s="2" t="str">
        <x:v>Essentials</x:v>
      </x:c>
      <x:c r="F9" s="15" t="n">
        <x:v>1715</x:v>
      </x:c>
      <x:c r="G9" s="16" t="n">
        <x:v>38.4</x:v>
      </x:c>
      <x:c r="H9" s="16" t="n">
        <x:v>26.01</x:v>
      </x:c>
      <x:c r="I9" s="15" t="n">
        <x:v>65856</x:v>
      </x:c>
      <x:c r="J9" s="15" t="n">
        <x:v>44607.15</x:v>
      </x:c>
      <x:c r="K9" s="20" t="n">
        <x:f>IF(AND(ISNUMBER(C9),OR(D9="Wholesale",D9="Online"),OR(E9="Essentials",E9="Standard",E9="Premium"),COUNT(F9:J9)=5,MIN(F9:J9)&gt;=0,F9=INT(F9),COUNTIFS($C$9:$C$44,C9,$D$9:$D$44,D9,$E$9:$E$44,E9)=1,ABS(I9-ROUND(F9*G9,2))&lt;0.005,ABS(J9-ROUND(F9*H9,2))&lt;0.005),1,0)</x:f>
        <x:v>1</x:v>
      </x:c>
    </x:row>
    <x:row r="10" ht="20" customHeight="1">
      <x:c r="A10" s="2"/>
      <x:c r="B10" s="2"/>
      <x:c r="C10" s="18" t="n">
        <x:v>46023</x:v>
      </x:c>
      <x:c r="D10" s="2" t="str">
        <x:v>Wholesale</x:v>
      </x:c>
      <x:c r="E10" s="2" t="str">
        <x:v>Standard</x:v>
      </x:c>
      <x:c r="F10" s="15" t="n">
        <x:v>989</x:v>
      </x:c>
      <x:c r="G10" s="16" t="n">
        <x:v>48</x:v>
      </x:c>
      <x:c r="H10" s="16" t="n">
        <x:v>30.6</x:v>
      </x:c>
      <x:c r="I10" s="15" t="n">
        <x:v>47472</x:v>
      </x:c>
      <x:c r="J10" s="15" t="n">
        <x:v>30263.4</x:v>
      </x:c>
      <x:c r="K10" s="20" t="n">
        <x:f>IF(AND(ISNUMBER(C10),OR(D10="Wholesale",D10="Online"),OR(E10="Essentials",E10="Standard",E10="Premium"),COUNT(F10:J10)=5,MIN(F10:J10)&gt;=0,F10=INT(F10),COUNTIFS($C$9:$C$44,C10,$D$9:$D$44,D10,$E$9:$E$44,E10)=1,ABS(I10-ROUND(F10*G10,2))&lt;0.005,ABS(J10-ROUND(F10*H10,2))&lt;0.005),1,0)</x:f>
        <x:v>1</x:v>
      </x:c>
    </x:row>
    <x:row r="11" ht="20" customHeight="1">
      <x:c r="A11" s="2"/>
      <x:c r="B11" s="2"/>
      <x:c r="C11" s="18" t="n">
        <x:v>46023</x:v>
      </x:c>
      <x:c r="D11" s="2" t="str">
        <x:v>Wholesale</x:v>
      </x:c>
      <x:c r="E11" s="2" t="str">
        <x:v>Premium</x:v>
      </x:c>
      <x:c r="F11" s="15" t="n">
        <x:v>594</x:v>
      </x:c>
      <x:c r="G11" s="16" t="n">
        <x:v>72</x:v>
      </x:c>
      <x:c r="H11" s="16" t="n">
        <x:v>42.08</x:v>
      </x:c>
      <x:c r="I11" s="15" t="n">
        <x:v>42768</x:v>
      </x:c>
      <x:c r="J11" s="15" t="n">
        <x:v>24995.52</x:v>
      </x:c>
      <x:c r="K11" s="20" t="n">
        <x:f>IF(AND(ISNUMBER(C11),OR(D11="Wholesale",D11="Online"),OR(E11="Essentials",E11="Standard",E11="Premium"),COUNT(F11:J11)=5,MIN(F11:J11)&gt;=0,F11=INT(F11),COUNTIFS($C$9:$C$44,C11,$D$9:$D$44,D11,$E$9:$E$44,E11)=1,ABS(I11-ROUND(F11*G11,2))&lt;0.005,ABS(J11-ROUND(F11*H11,2))&lt;0.005),1,0)</x:f>
        <x:v>1</x:v>
      </x:c>
    </x:row>
    <x:row r="12" ht="20" customHeight="1">
      <x:c r="A12" s="2"/>
      <x:c r="B12" s="2"/>
      <x:c r="C12" s="18" t="n">
        <x:v>46023</x:v>
      </x:c>
      <x:c r="D12" s="2" t="str">
        <x:v>Online</x:v>
      </x:c>
      <x:c r="E12" s="2" t="str">
        <x:v>Essentials</x:v>
      </x:c>
      <x:c r="F12" s="15" t="n">
        <x:v>434</x:v>
      </x:c>
      <x:c r="G12" s="16" t="n">
        <x:v>49.25</x:v>
      </x:c>
      <x:c r="H12" s="16" t="n">
        <x:v>25.86</x:v>
      </x:c>
      <x:c r="I12" s="15" t="n">
        <x:v>21374.5</x:v>
      </x:c>
      <x:c r="J12" s="15" t="n">
        <x:v>11223.24</x:v>
      </x:c>
      <x:c r="K12" s="20" t="n">
        <x:f>IF(AND(ISNUMBER(C12),OR(D12="Wholesale",D12="Online"),OR(E12="Essentials",E12="Standard",E12="Premium"),COUNT(F12:J12)=5,MIN(F12:J12)&gt;=0,F12=INT(F12),COUNTIFS($C$9:$C$44,C12,$D$9:$D$44,D12,$E$9:$E$44,E12)=1,ABS(I12-ROUND(F12*G12,2))&lt;0.005,ABS(J12-ROUND(F12*H12,2))&lt;0.005),1,0)</x:f>
        <x:v>1</x:v>
      </x:c>
    </x:row>
    <x:row r="13" ht="20" customHeight="1">
      <x:c r="A13" s="2"/>
      <x:c r="B13" s="2"/>
      <x:c r="C13" s="18" t="n">
        <x:v>46023</x:v>
      </x:c>
      <x:c r="D13" s="2" t="str">
        <x:v>Online</x:v>
      </x:c>
      <x:c r="E13" s="2" t="str">
        <x:v>Standard</x:v>
      </x:c>
      <x:c r="F13" s="15" t="n">
        <x:v>570</x:v>
      </x:c>
      <x:c r="G13" s="16" t="n">
        <x:v>65.67</x:v>
      </x:c>
      <x:c r="H13" s="16" t="n">
        <x:v>32.32</x:v>
      </x:c>
      <x:c r="I13" s="15" t="n">
        <x:v>37431.9</x:v>
      </x:c>
      <x:c r="J13" s="15" t="n">
        <x:v>18422.4</x:v>
      </x:c>
      <x:c r="K13" s="20" t="n">
        <x:f>IF(AND(ISNUMBER(C13),OR(D13="Wholesale",D13="Online"),OR(E13="Essentials",E13="Standard",E13="Premium"),COUNT(F13:J13)=5,MIN(F13:J13)&gt;=0,F13=INT(F13),COUNTIFS($C$9:$C$44,C13,$D$9:$D$44,D13,$E$9:$E$44,E13)=1,ABS(I13-ROUND(F13*G13,2))&lt;0.005,ABS(J13-ROUND(F13*H13,2))&lt;0.005),1,0)</x:f>
        <x:v>1</x:v>
      </x:c>
    </x:row>
    <x:row r="14" ht="20" customHeight="1">
      <x:c r="A14" s="2"/>
      <x:c r="B14" s="2"/>
      <x:c r="C14" s="18" t="n">
        <x:v>46023</x:v>
      </x:c>
      <x:c r="D14" s="2" t="str">
        <x:v>Online</x:v>
      </x:c>
      <x:c r="E14" s="2" t="str">
        <x:v>Premium</x:v>
      </x:c>
      <x:c r="F14" s="15" t="n">
        <x:v>353</x:v>
      </x:c>
      <x:c r="G14" s="16" t="n">
        <x:v>82.09</x:v>
      </x:c>
      <x:c r="H14" s="16" t="n">
        <x:v>38.78</x:v>
      </x:c>
      <x:c r="I14" s="15" t="n">
        <x:v>28977.77</x:v>
      </x:c>
      <x:c r="J14" s="15" t="n">
        <x:v>13689.34</x:v>
      </x:c>
      <x:c r="K14" s="20" t="n">
        <x:f>IF(AND(ISNUMBER(C14),OR(D14="Wholesale",D14="Online"),OR(E14="Essentials",E14="Standard",E14="Premium"),COUNT(F14:J14)=5,MIN(F14:J14)&gt;=0,F14=INT(F14),COUNTIFS($C$9:$C$44,C14,$D$9:$D$44,D14,$E$9:$E$44,E14)=1,ABS(I14-ROUND(F14*G14,2))&lt;0.005,ABS(J14-ROUND(F14*H14,2))&lt;0.005),1,0)</x:f>
        <x:v>1</x:v>
      </x:c>
    </x:row>
    <x:row r="15" ht="20" customHeight="1">
      <x:c r="A15" s="2"/>
      <x:c r="B15" s="2"/>
      <x:c r="C15" s="18" t="n">
        <x:v>46054</x:v>
      </x:c>
      <x:c r="D15" s="2" t="str">
        <x:v>Wholesale</x:v>
      </x:c>
      <x:c r="E15" s="2" t="str">
        <x:v>Essentials</x:v>
      </x:c>
      <x:c r="F15" s="15" t="n">
        <x:v>1697</x:v>
      </x:c>
      <x:c r="G15" s="16" t="n">
        <x:v>38.21</x:v>
      </x:c>
      <x:c r="H15" s="16" t="n">
        <x:v>26.14</x:v>
      </x:c>
      <x:c r="I15" s="15" t="n">
        <x:v>64842.37</x:v>
      </x:c>
      <x:c r="J15" s="15" t="n">
        <x:v>44359.58</x:v>
      </x:c>
      <x:c r="K15" s="20" t="n">
        <x:f>IF(AND(ISNUMBER(C15),OR(D15="Wholesale",D15="Online"),OR(E15="Essentials",E15="Standard",E15="Premium"),COUNT(F15:J15)=5,MIN(F15:J15)&gt;=0,F15=INT(F15),COUNTIFS($C$9:$C$44,C15,$D$9:$D$44,D15,$E$9:$E$44,E15)=1,ABS(I15-ROUND(F15*G15,2))&lt;0.005,ABS(J15-ROUND(F15*H15,2))&lt;0.005),1,0)</x:f>
        <x:v>1</x:v>
      </x:c>
    </x:row>
    <x:row r="16" ht="20" customHeight="1">
      <x:c r="A16" s="2"/>
      <x:c r="B16" s="2"/>
      <x:c r="C16" s="18" t="n">
        <x:v>46054</x:v>
      </x:c>
      <x:c r="D16" s="2" t="str">
        <x:v>Wholesale</x:v>
      </x:c>
      <x:c r="E16" s="2" t="str">
        <x:v>Standard</x:v>
      </x:c>
      <x:c r="F16" s="15" t="n">
        <x:v>979</x:v>
      </x:c>
      <x:c r="G16" s="16" t="n">
        <x:v>47.76</x:v>
      </x:c>
      <x:c r="H16" s="16" t="n">
        <x:v>30.75</x:v>
      </x:c>
      <x:c r="I16" s="15" t="n">
        <x:v>46757.04</x:v>
      </x:c>
      <x:c r="J16" s="15" t="n">
        <x:v>30104.25</x:v>
      </x:c>
      <x:c r="K16" s="20" t="n">
        <x:f>IF(AND(ISNUMBER(C16),OR(D16="Wholesale",D16="Online"),OR(E16="Essentials",E16="Standard",E16="Premium"),COUNT(F16:J16)=5,MIN(F16:J16)&gt;=0,F16=INT(F16),COUNTIFS($C$9:$C$44,C16,$D$9:$D$44,D16,$E$9:$E$44,E16)=1,ABS(I16-ROUND(F16*G16,2))&lt;0.005,ABS(J16-ROUND(F16*H16,2))&lt;0.005),1,0)</x:f>
        <x:v>1</x:v>
      </x:c>
    </x:row>
    <x:row r="17" ht="20" customHeight="1">
      <x:c r="A17" s="2"/>
      <x:c r="B17" s="2"/>
      <x:c r="C17" s="18" t="n">
        <x:v>46054</x:v>
      </x:c>
      <x:c r="D17" s="2" t="str">
        <x:v>Wholesale</x:v>
      </x:c>
      <x:c r="E17" s="2" t="str">
        <x:v>Premium</x:v>
      </x:c>
      <x:c r="F17" s="15" t="n">
        <x:v>588</x:v>
      </x:c>
      <x:c r="G17" s="16" t="n">
        <x:v>71.64</x:v>
      </x:c>
      <x:c r="H17" s="16" t="n">
        <x:v>42.28</x:v>
      </x:c>
      <x:c r="I17" s="15" t="n">
        <x:v>42124.32</x:v>
      </x:c>
      <x:c r="J17" s="15" t="n">
        <x:v>24860.64</x:v>
      </x:c>
      <x:c r="K17" s="20" t="n">
        <x:f>IF(AND(ISNUMBER(C17),OR(D17="Wholesale",D17="Online"),OR(E17="Essentials",E17="Standard",E17="Premium"),COUNT(F17:J17)=5,MIN(F17:J17)&gt;=0,F17=INT(F17),COUNTIFS($C$9:$C$44,C17,$D$9:$D$44,D17,$E$9:$E$44,E17)=1,ABS(I17-ROUND(F17*G17,2))&lt;0.005,ABS(J17-ROUND(F17*H17,2))&lt;0.005),1,0)</x:f>
        <x:v>1</x:v>
      </x:c>
    </x:row>
    <x:row r="18" ht="20" customHeight="1">
      <x:c r="A18" s="2"/>
      <x:c r="B18" s="2"/>
      <x:c r="C18" s="18" t="n">
        <x:v>46054</x:v>
      </x:c>
      <x:c r="D18" s="2" t="str">
        <x:v>Online</x:v>
      </x:c>
      <x:c r="E18" s="2" t="str">
        <x:v>Essentials</x:v>
      </x:c>
      <x:c r="F18" s="15" t="n">
        <x:v>470</x:v>
      </x:c>
      <x:c r="G18" s="16" t="n">
        <x:v>49.01</x:v>
      </x:c>
      <x:c r="H18" s="16" t="n">
        <x:v>26.11</x:v>
      </x:c>
      <x:c r="I18" s="15" t="n">
        <x:v>23034.7</x:v>
      </x:c>
      <x:c r="J18" s="15" t="n">
        <x:v>12271.7</x:v>
      </x:c>
      <x:c r="K18" s="20" t="n">
        <x:f>IF(AND(ISNUMBER(C18),OR(D18="Wholesale",D18="Online"),OR(E18="Essentials",E18="Standard",E18="Premium"),COUNT(F18:J18)=5,MIN(F18:J18)&gt;=0,F18=INT(F18),COUNTIFS($C$9:$C$44,C18,$D$9:$D$44,D18,$E$9:$E$44,E18)=1,ABS(I18-ROUND(F18*G18,2))&lt;0.005,ABS(J18-ROUND(F18*H18,2))&lt;0.005),1,0)</x:f>
        <x:v>1</x:v>
      </x:c>
    </x:row>
    <x:row r="19" ht="20" customHeight="1">
      <x:c r="A19" s="2"/>
      <x:c r="B19" s="2"/>
      <x:c r="C19" s="18" t="n">
        <x:v>46054</x:v>
      </x:c>
      <x:c r="D19" s="2" t="str">
        <x:v>Online</x:v>
      </x:c>
      <x:c r="E19" s="2" t="str">
        <x:v>Standard</x:v>
      </x:c>
      <x:c r="F19" s="15" t="n">
        <x:v>617</x:v>
      </x:c>
      <x:c r="G19" s="16" t="n">
        <x:v>65.34</x:v>
      </x:c>
      <x:c r="H19" s="16" t="n">
        <x:v>32.64</x:v>
      </x:c>
      <x:c r="I19" s="15" t="n">
        <x:v>40314.78</x:v>
      </x:c>
      <x:c r="J19" s="15" t="n">
        <x:v>20138.88</x:v>
      </x:c>
      <x:c r="K19" s="20" t="n">
        <x:f>IF(AND(ISNUMBER(C19),OR(D19="Wholesale",D19="Online"),OR(E19="Essentials",E19="Standard",E19="Premium"),COUNT(F19:J19)=5,MIN(F19:J19)&gt;=0,F19=INT(F19),COUNTIFS($C$9:$C$44,C19,$D$9:$D$44,D19,$E$9:$E$44,E19)=1,ABS(I19-ROUND(F19*G19,2))&lt;0.005,ABS(J19-ROUND(F19*H19,2))&lt;0.005),1,0)</x:f>
        <x:v>1</x:v>
      </x:c>
    </x:row>
    <x:row r="20" ht="20" customHeight="1">
      <x:c r="A20" s="2"/>
      <x:c r="B20" s="2"/>
      <x:c r="C20" s="18" t="n">
        <x:v>46054</x:v>
      </x:c>
      <x:c r="D20" s="2" t="str">
        <x:v>Online</x:v>
      </x:c>
      <x:c r="E20" s="2" t="str">
        <x:v>Premium</x:v>
      </x:c>
      <x:c r="F20" s="15" t="n">
        <x:v>382</x:v>
      </x:c>
      <x:c r="G20" s="16" t="n">
        <x:v>81.68</x:v>
      </x:c>
      <x:c r="H20" s="16" t="n">
        <x:v>39.17</x:v>
      </x:c>
      <x:c r="I20" s="15" t="n">
        <x:v>31201.76</x:v>
      </x:c>
      <x:c r="J20" s="15" t="n">
        <x:v>14962.94</x:v>
      </x:c>
      <x:c r="K20" s="20" t="n">
        <x:f>IF(AND(ISNUMBER(C20),OR(D20="Wholesale",D20="Online"),OR(E20="Essentials",E20="Standard",E20="Premium"),COUNT(F20:J20)=5,MIN(F20:J20)&gt;=0,F20=INT(F20),COUNTIFS($C$9:$C$44,C20,$D$9:$D$44,D20,$E$9:$E$44,E20)=1,ABS(I20-ROUND(F20*G20,2))&lt;0.005,ABS(J20-ROUND(F20*H20,2))&lt;0.005),1,0)</x:f>
        <x:v>1</x:v>
      </x:c>
    </x:row>
    <x:row r="21" ht="20" customHeight="1">
      <x:c r="A21" s="2"/>
      <x:c r="B21" s="2"/>
      <x:c r="C21" s="18" t="n">
        <x:v>46082</x:v>
      </x:c>
      <x:c r="D21" s="2" t="str">
        <x:v>Wholesale</x:v>
      </x:c>
      <x:c r="E21" s="2" t="str">
        <x:v>Essentials</x:v>
      </x:c>
      <x:c r="F21" s="15" t="n">
        <x:v>1857</x:v>
      </x:c>
      <x:c r="G21" s="16" t="n">
        <x:v>38.02</x:v>
      </x:c>
      <x:c r="H21" s="16" t="n">
        <x:v>26.52</x:v>
      </x:c>
      <x:c r="I21" s="15" t="n">
        <x:v>70603.14</x:v>
      </x:c>
      <x:c r="J21" s="15" t="n">
        <x:v>49247.64</x:v>
      </x:c>
      <x:c r="K21" s="20" t="n">
        <x:f>IF(AND(ISNUMBER(C21),OR(D21="Wholesale",D21="Online"),OR(E21="Essentials",E21="Standard",E21="Premium"),COUNT(F21:J21)=5,MIN(F21:J21)&gt;=0,F21=INT(F21),COUNTIFS($C$9:$C$44,C21,$D$9:$D$44,D21,$E$9:$E$44,E21)=1,ABS(I21-ROUND(F21*G21,2))&lt;0.005,ABS(J21-ROUND(F21*H21,2))&lt;0.005),1,0)</x:f>
        <x:v>1</x:v>
      </x:c>
    </x:row>
    <x:row r="22" ht="20" customHeight="1">
      <x:c r="A22" s="2"/>
      <x:c r="B22" s="2"/>
      <x:c r="C22" s="18" t="n">
        <x:v>46082</x:v>
      </x:c>
      <x:c r="D22" s="2" t="str">
        <x:v>Wholesale</x:v>
      </x:c>
      <x:c r="E22" s="2" t="str">
        <x:v>Standard</x:v>
      </x:c>
      <x:c r="F22" s="15" t="n">
        <x:v>1072</x:v>
      </x:c>
      <x:c r="G22" s="16" t="n">
        <x:v>47.52</x:v>
      </x:c>
      <x:c r="H22" s="16" t="n">
        <x:v>31.2</x:v>
      </x:c>
      <x:c r="I22" s="15" t="n">
        <x:v>50941.44</x:v>
      </x:c>
      <x:c r="J22" s="15" t="n">
        <x:v>33446.4</x:v>
      </x:c>
      <x:c r="K22" s="20" t="n">
        <x:f>IF(AND(ISNUMBER(C22),OR(D22="Wholesale",D22="Online"),OR(E22="Essentials",E22="Standard",E22="Premium"),COUNT(F22:J22)=5,MIN(F22:J22)&gt;=0,F22=INT(F22),COUNTIFS($C$9:$C$44,C22,$D$9:$D$44,D22,$E$9:$E$44,E22)=1,ABS(I22-ROUND(F22*G22,2))&lt;0.005,ABS(J22-ROUND(F22*H22,2))&lt;0.005),1,0)</x:f>
        <x:v>1</x:v>
      </x:c>
    </x:row>
    <x:row r="23" ht="20" customHeight="1">
      <x:c r="A23" s="2"/>
      <x:c r="B23" s="2"/>
      <x:c r="C23" s="18" t="n">
        <x:v>46082</x:v>
      </x:c>
      <x:c r="D23" s="2" t="str">
        <x:v>Wholesale</x:v>
      </x:c>
      <x:c r="E23" s="2" t="str">
        <x:v>Premium</x:v>
      </x:c>
      <x:c r="F23" s="15" t="n">
        <x:v>643</x:v>
      </x:c>
      <x:c r="G23" s="16" t="n">
        <x:v>71.28</x:v>
      </x:c>
      <x:c r="H23" s="16" t="n">
        <x:v>42.9</x:v>
      </x:c>
      <x:c r="I23" s="15" t="n">
        <x:v>45833.04</x:v>
      </x:c>
      <x:c r="J23" s="15" t="n">
        <x:v>27584.7</x:v>
      </x:c>
      <x:c r="K23" s="20" t="n">
        <x:f>IF(AND(ISNUMBER(C23),OR(D23="Wholesale",D23="Online"),OR(E23="Essentials",E23="Standard",E23="Premium"),COUNT(F23:J23)=5,MIN(F23:J23)&gt;=0,F23=INT(F23),COUNTIFS($C$9:$C$44,C23,$D$9:$D$44,D23,$E$9:$E$44,E23)=1,ABS(I23-ROUND(F23*G23,2))&lt;0.005,ABS(J23-ROUND(F23*H23,2))&lt;0.005),1,0)</x:f>
        <x:v>1</x:v>
      </x:c>
    </x:row>
    <x:row r="24" ht="20" customHeight="1">
      <x:c r="A24" s="2"/>
      <x:c r="B24" s="2"/>
      <x:c r="C24" s="18" t="n">
        <x:v>46082</x:v>
      </x:c>
      <x:c r="D24" s="2" t="str">
        <x:v>Online</x:v>
      </x:c>
      <x:c r="E24" s="2" t="str">
        <x:v>Essentials</x:v>
      </x:c>
      <x:c r="F24" s="15" t="n">
        <x:v>535</x:v>
      </x:c>
      <x:c r="G24" s="16" t="n">
        <x:v>48.76</x:v>
      </x:c>
      <x:c r="H24" s="16" t="n">
        <x:v>26.24</x:v>
      </x:c>
      <x:c r="I24" s="15" t="n">
        <x:v>26086.6</x:v>
      </x:c>
      <x:c r="J24" s="15" t="n">
        <x:v>14038.4</x:v>
      </x:c>
      <x:c r="K24" s="20" t="n">
        <x:f>IF(AND(ISNUMBER(C24),OR(D24="Wholesale",D24="Online"),OR(E24="Essentials",E24="Standard",E24="Premium"),COUNT(F24:J24)=5,MIN(F24:J24)&gt;=0,F24=INT(F24),COUNTIFS($C$9:$C$44,C24,$D$9:$D$44,D24,$E$9:$E$44,E24)=1,ABS(I24-ROUND(F24*G24,2))&lt;0.005,ABS(J24-ROUND(F24*H24,2))&lt;0.005),1,0)</x:f>
        <x:v>1</x:v>
      </x:c>
    </x:row>
    <x:row r="25" ht="20" customHeight="1">
      <x:c r="A25" s="2"/>
      <x:c r="B25" s="2"/>
      <x:c r="C25" s="18" t="n">
        <x:v>46082</x:v>
      </x:c>
      <x:c r="D25" s="2" t="str">
        <x:v>Online</x:v>
      </x:c>
      <x:c r="E25" s="2" t="str">
        <x:v>Standard</x:v>
      </x:c>
      <x:c r="F25" s="15" t="n">
        <x:v>702</x:v>
      </x:c>
      <x:c r="G25" s="16" t="n">
        <x:v>65.01</x:v>
      </x:c>
      <x:c r="H25" s="16" t="n">
        <x:v>32.8</x:v>
      </x:c>
      <x:c r="I25" s="15" t="n">
        <x:v>45637.02</x:v>
      </x:c>
      <x:c r="J25" s="15" t="n">
        <x:v>23025.6</x:v>
      </x:c>
      <x:c r="K25" s="20" t="n">
        <x:f>IF(AND(ISNUMBER(C25),OR(D25="Wholesale",D25="Online"),OR(E25="Essentials",E25="Standard",E25="Premium"),COUNT(F25:J25)=5,MIN(F25:J25)&gt;=0,F25=INT(F25),COUNTIFS($C$9:$C$44,C25,$D$9:$D$44,D25,$E$9:$E$44,E25)=1,ABS(I25-ROUND(F25*G25,2))&lt;0.005,ABS(J25-ROUND(F25*H25,2))&lt;0.005),1,0)</x:f>
        <x:v>1</x:v>
      </x:c>
    </x:row>
    <x:row r="26" ht="20" customHeight="1">
      <x:c r="A26" s="2"/>
      <x:c r="B26" s="2"/>
      <x:c r="C26" s="18" t="n">
        <x:v>46082</x:v>
      </x:c>
      <x:c r="D26" s="2" t="str">
        <x:v>Online</x:v>
      </x:c>
      <x:c r="E26" s="2" t="str">
        <x:v>Premium</x:v>
      </x:c>
      <x:c r="F26" s="15" t="n">
        <x:v>435</x:v>
      </x:c>
      <x:c r="G26" s="16" t="n">
        <x:v>81.26</x:v>
      </x:c>
      <x:c r="H26" s="16" t="n">
        <x:v>39.36</x:v>
      </x:c>
      <x:c r="I26" s="15" t="n">
        <x:v>35348.1</x:v>
      </x:c>
      <x:c r="J26" s="15" t="n">
        <x:v>17121.6</x:v>
      </x:c>
      <x:c r="K26" s="20" t="n">
        <x:f>IF(AND(ISNUMBER(C26),OR(D26="Wholesale",D26="Online"),OR(E26="Essentials",E26="Standard",E26="Premium"),COUNT(F26:J26)=5,MIN(F26:J26)&gt;=0,F26=INT(F26),COUNTIFS($C$9:$C$44,C26,$D$9:$D$44,D26,$E$9:$E$44,E26)=1,ABS(I26-ROUND(F26*G26,2))&lt;0.005,ABS(J26-ROUND(F26*H26,2))&lt;0.005),1,0)</x:f>
        <x:v>1</x:v>
      </x:c>
    </x:row>
    <x:row r="27" ht="20" customHeight="1">
      <x:c r="A27" s="2"/>
      <x:c r="B27" s="2"/>
      <x:c r="C27" s="18" t="n">
        <x:v>46113</x:v>
      </x:c>
      <x:c r="D27" s="2" t="str">
        <x:v>Wholesale</x:v>
      </x:c>
      <x:c r="E27" s="2" t="str">
        <x:v>Essentials</x:v>
      </x:c>
      <x:c r="F27" s="15" t="n">
        <x:v>1914</x:v>
      </x:c>
      <x:c r="G27" s="16" t="n">
        <x:v>38.4</x:v>
      </x:c>
      <x:c r="H27" s="16" t="n">
        <x:v>26.9</x:v>
      </x:c>
      <x:c r="I27" s="15" t="n">
        <x:v>73497.6</x:v>
      </x:c>
      <x:c r="J27" s="15" t="n">
        <x:v>51486.6</x:v>
      </x:c>
      <x:c r="K27" s="20" t="n">
        <x:f>IF(AND(ISNUMBER(C27),OR(D27="Wholesale",D27="Online"),OR(E27="Essentials",E27="Standard",E27="Premium"),COUNT(F27:J27)=5,MIN(F27:J27)&gt;=0,F27=INT(F27),COUNTIFS($C$9:$C$44,C27,$D$9:$D$44,D27,$E$9:$E$44,E27)=1,ABS(I27-ROUND(F27*G27,2))&lt;0.005,ABS(J27-ROUND(F27*H27,2))&lt;0.005),1,0)</x:f>
        <x:v>1</x:v>
      </x:c>
    </x:row>
    <x:row r="28" ht="20" customHeight="1">
      <x:c r="A28" s="2"/>
      <x:c r="B28" s="2"/>
      <x:c r="C28" s="18" t="n">
        <x:v>46113</x:v>
      </x:c>
      <x:c r="D28" s="2" t="str">
        <x:v>Wholesale</x:v>
      </x:c>
      <x:c r="E28" s="2" t="str">
        <x:v>Standard</x:v>
      </x:c>
      <x:c r="F28" s="15" t="n">
        <x:v>1104</x:v>
      </x:c>
      <x:c r="G28" s="16" t="n">
        <x:v>48</x:v>
      </x:c>
      <x:c r="H28" s="16" t="n">
        <x:v>31.65</x:v>
      </x:c>
      <x:c r="I28" s="15" t="n">
        <x:v>52992</x:v>
      </x:c>
      <x:c r="J28" s="15" t="n">
        <x:v>34941.6</x:v>
      </x:c>
      <x:c r="K28" s="20" t="n">
        <x:f>IF(AND(ISNUMBER(C28),OR(D28="Wholesale",D28="Online"),OR(E28="Essentials",E28="Standard",E28="Premium"),COUNT(F28:J28)=5,MIN(F28:J28)&gt;=0,F28=INT(F28),COUNTIFS($C$9:$C$44,C28,$D$9:$D$44,D28,$E$9:$E$44,E28)=1,ABS(I28-ROUND(F28*G28,2))&lt;0.005,ABS(J28-ROUND(F28*H28,2))&lt;0.005),1,0)</x:f>
        <x:v>1</x:v>
      </x:c>
    </x:row>
    <x:row r="29" ht="20" customHeight="1">
      <x:c r="A29" s="2"/>
      <x:c r="B29" s="2"/>
      <x:c r="C29" s="18" t="n">
        <x:v>46113</x:v>
      </x:c>
      <x:c r="D29" s="2" t="str">
        <x:v>Wholesale</x:v>
      </x:c>
      <x:c r="E29" s="2" t="str">
        <x:v>Premium</x:v>
      </x:c>
      <x:c r="F29" s="15" t="n">
        <x:v>662</x:v>
      </x:c>
      <x:c r="G29" s="16" t="n">
        <x:v>72</x:v>
      </x:c>
      <x:c r="H29" s="16" t="n">
        <x:v>43.52</x:v>
      </x:c>
      <x:c r="I29" s="15" t="n">
        <x:v>47664</x:v>
      </x:c>
      <x:c r="J29" s="15" t="n">
        <x:v>28810.24</x:v>
      </x:c>
      <x:c r="K29" s="20" t="n">
        <x:f>IF(AND(ISNUMBER(C29),OR(D29="Wholesale",D29="Online"),OR(E29="Essentials",E29="Standard",E29="Premium"),COUNT(F29:J29)=5,MIN(F29:J29)&gt;=0,F29=INT(F29),COUNTIFS($C$9:$C$44,C29,$D$9:$D$44,D29,$E$9:$E$44,E29)=1,ABS(I29-ROUND(F29*G29,2))&lt;0.005,ABS(J29-ROUND(F29*H29,2))&lt;0.005),1,0)</x:f>
        <x:v>1</x:v>
      </x:c>
    </x:row>
    <x:row r="30" ht="20" customHeight="1">
      <x:c r="A30" s="2"/>
      <x:c r="B30" s="2"/>
      <x:c r="C30" s="18" t="n">
        <x:v>46113</x:v>
      </x:c>
      <x:c r="D30" s="2" t="str">
        <x:v>Online</x:v>
      </x:c>
      <x:c r="E30" s="2" t="str">
        <x:v>Essentials</x:v>
      </x:c>
      <x:c r="F30" s="15" t="n">
        <x:v>584</x:v>
      </x:c>
      <x:c r="G30" s="16" t="n">
        <x:v>48.26</x:v>
      </x:c>
      <x:c r="H30" s="16" t="n">
        <x:v>26.62</x:v>
      </x:c>
      <x:c r="I30" s="15" t="n">
        <x:v>28183.84</x:v>
      </x:c>
      <x:c r="J30" s="15" t="n">
        <x:v>15546.08</x:v>
      </x:c>
      <x:c r="K30" s="20" t="n">
        <x:f>IF(AND(ISNUMBER(C30),OR(D30="Wholesale",D30="Online"),OR(E30="Essentials",E30="Standard",E30="Premium"),COUNT(F30:J30)=5,MIN(F30:J30)&gt;=0,F30=INT(F30),COUNTIFS($C$9:$C$44,C30,$D$9:$D$44,D30,$E$9:$E$44,E30)=1,ABS(I30-ROUND(F30*G30,2))&lt;0.005,ABS(J30-ROUND(F30*H30,2))&lt;0.005),1,0)</x:f>
        <x:v>1</x:v>
      </x:c>
    </x:row>
    <x:row r="31" ht="20" customHeight="1">
      <x:c r="A31" s="2"/>
      <x:c r="B31" s="2"/>
      <x:c r="C31" s="18" t="n">
        <x:v>46113</x:v>
      </x:c>
      <x:c r="D31" s="2" t="str">
        <x:v>Online</x:v>
      </x:c>
      <x:c r="E31" s="2" t="str">
        <x:v>Standard</x:v>
      </x:c>
      <x:c r="F31" s="15" t="n">
        <x:v>766</x:v>
      </x:c>
      <x:c r="G31" s="16" t="n">
        <x:v>64.35</x:v>
      </x:c>
      <x:c r="H31" s="16" t="n">
        <x:v>33.28</x:v>
      </x:c>
      <x:c r="I31" s="15" t="n">
        <x:v>49292.1</x:v>
      </x:c>
      <x:c r="J31" s="15" t="n">
        <x:v>25492.48</x:v>
      </x:c>
      <x:c r="K31" s="20" t="n">
        <x:f>IF(AND(ISNUMBER(C31),OR(D31="Wholesale",D31="Online"),OR(E31="Essentials",E31="Standard",E31="Premium"),COUNT(F31:J31)=5,MIN(F31:J31)&gt;=0,F31=INT(F31),COUNTIFS($C$9:$C$44,C31,$D$9:$D$44,D31,$E$9:$E$44,E31)=1,ABS(I31-ROUND(F31*G31,2))&lt;0.005,ABS(J31-ROUND(F31*H31,2))&lt;0.005),1,0)</x:f>
        <x:v>1</x:v>
      </x:c>
    </x:row>
    <x:row r="32" ht="20" customHeight="1">
      <x:c r="A32" s="2"/>
      <x:c r="B32" s="2"/>
      <x:c r="C32" s="18" t="n">
        <x:v>46113</x:v>
      </x:c>
      <x:c r="D32" s="2" t="str">
        <x:v>Online</x:v>
      </x:c>
      <x:c r="E32" s="2" t="str">
        <x:v>Premium</x:v>
      </x:c>
      <x:c r="F32" s="15" t="n">
        <x:v>474</x:v>
      </x:c>
      <x:c r="G32" s="16" t="n">
        <x:v>80.44</x:v>
      </x:c>
      <x:c r="H32" s="16" t="n">
        <x:v>39.94</x:v>
      </x:c>
      <x:c r="I32" s="15" t="n">
        <x:v>38128.56</x:v>
      </x:c>
      <x:c r="J32" s="15" t="n">
        <x:v>18931.56</x:v>
      </x:c>
      <x:c r="K32" s="20" t="n">
        <x:f>IF(AND(ISNUMBER(C32),OR(D32="Wholesale",D32="Online"),OR(E32="Essentials",E32="Standard",E32="Premium"),COUNT(F32:J32)=5,MIN(F32:J32)&gt;=0,F32=INT(F32),COUNTIFS($C$9:$C$44,C32,$D$9:$D$44,D32,$E$9:$E$44,E32)=1,ABS(I32-ROUND(F32*G32,2))&lt;0.005,ABS(J32-ROUND(F32*H32,2))&lt;0.005),1,0)</x:f>
        <x:v>1</x:v>
      </x:c>
    </x:row>
    <x:row r="33" ht="20" customHeight="1">
      <x:c r="A33" s="2"/>
      <x:c r="B33" s="2"/>
      <x:c r="C33" s="18" t="n">
        <x:v>46143</x:v>
      </x:c>
      <x:c r="D33" s="2" t="str">
        <x:v>Wholesale</x:v>
      </x:c>
      <x:c r="E33" s="2" t="str">
        <x:v>Essentials</x:v>
      </x:c>
      <x:c r="F33" s="15" t="n">
        <x:v>2075</x:v>
      </x:c>
      <x:c r="G33" s="16" t="n">
        <x:v>38.59</x:v>
      </x:c>
      <x:c r="H33" s="16" t="n">
        <x:v>27.03</x:v>
      </x:c>
      <x:c r="I33" s="15" t="n">
        <x:v>80074.25</x:v>
      </x:c>
      <x:c r="J33" s="15" t="n">
        <x:v>56087.25</x:v>
      </x:c>
      <x:c r="K33" s="20" t="n">
        <x:f>IF(AND(ISNUMBER(C33),OR(D33="Wholesale",D33="Online"),OR(E33="Essentials",E33="Standard",E33="Premium"),COUNT(F33:J33)=5,MIN(F33:J33)&gt;=0,F33=INT(F33),COUNTIFS($C$9:$C$44,C33,$D$9:$D$44,D33,$E$9:$E$44,E33)=1,ABS(I33-ROUND(F33*G33,2))&lt;0.005,ABS(J33-ROUND(F33*H33,2))&lt;0.005),1,0)</x:f>
        <x:v>1</x:v>
      </x:c>
    </x:row>
    <x:row r="34" ht="20" customHeight="1">
      <x:c r="A34" s="2"/>
      <x:c r="B34" s="2"/>
      <x:c r="C34" s="18" t="n">
        <x:v>46143</x:v>
      </x:c>
      <x:c r="D34" s="2" t="str">
        <x:v>Wholesale</x:v>
      </x:c>
      <x:c r="E34" s="2" t="str">
        <x:v>Standard</x:v>
      </x:c>
      <x:c r="F34" s="15" t="n">
        <x:v>1197</x:v>
      </x:c>
      <x:c r="G34" s="16" t="n">
        <x:v>48.24</x:v>
      </x:c>
      <x:c r="H34" s="16" t="n">
        <x:v>31.8</x:v>
      </x:c>
      <x:c r="I34" s="15" t="n">
        <x:v>57743.28</x:v>
      </x:c>
      <x:c r="J34" s="15" t="n">
        <x:v>38064.6</x:v>
      </x:c>
      <x:c r="K34" s="20" t="n">
        <x:f>IF(AND(ISNUMBER(C34),OR(D34="Wholesale",D34="Online"),OR(E34="Essentials",E34="Standard",E34="Premium"),COUNT(F34:J34)=5,MIN(F34:J34)&gt;=0,F34=INT(F34),COUNTIFS($C$9:$C$44,C34,$D$9:$D$44,D34,$E$9:$E$44,E34)=1,ABS(I34-ROUND(F34*G34,2))&lt;0.005,ABS(J34-ROUND(F34*H34,2))&lt;0.005),1,0)</x:f>
        <x:v>1</x:v>
      </x:c>
    </x:row>
    <x:row r="35" ht="20" customHeight="1">
      <x:c r="A35" s="2"/>
      <x:c r="B35" s="2"/>
      <x:c r="C35" s="18" t="n">
        <x:v>46143</x:v>
      </x:c>
      <x:c r="D35" s="2" t="str">
        <x:v>Wholesale</x:v>
      </x:c>
      <x:c r="E35" s="2" t="str">
        <x:v>Premium</x:v>
      </x:c>
      <x:c r="F35" s="15" t="n">
        <x:v>718</x:v>
      </x:c>
      <x:c r="G35" s="16" t="n">
        <x:v>72.36</x:v>
      </x:c>
      <x:c r="H35" s="16" t="n">
        <x:v>43.73</x:v>
      </x:c>
      <x:c r="I35" s="15" t="n">
        <x:v>51954.48</x:v>
      </x:c>
      <x:c r="J35" s="15" t="n">
        <x:v>31398.14</x:v>
      </x:c>
      <x:c r="K35" s="20" t="n">
        <x:f>IF(AND(ISNUMBER(C35),OR(D35="Wholesale",D35="Online"),OR(E35="Essentials",E35="Standard",E35="Premium"),COUNT(F35:J35)=5,MIN(F35:J35)&gt;=0,F35=INT(F35),COUNTIFS($C$9:$C$44,C35,$D$9:$D$44,D35,$E$9:$E$44,E35)=1,ABS(I35-ROUND(F35*G35,2))&lt;0.005,ABS(J35-ROUND(F35*H35,2))&lt;0.005),1,0)</x:f>
        <x:v>1</x:v>
      </x:c>
    </x:row>
    <x:row r="36" ht="20" customHeight="1">
      <x:c r="A36" s="2"/>
      <x:c r="B36" s="2"/>
      <x:c r="C36" s="18" t="n">
        <x:v>46143</x:v>
      </x:c>
      <x:c r="D36" s="2" t="str">
        <x:v>Online</x:v>
      </x:c>
      <x:c r="E36" s="2" t="str">
        <x:v>Essentials</x:v>
      </x:c>
      <x:c r="F36" s="15" t="n">
        <x:v>579</x:v>
      </x:c>
      <x:c r="G36" s="16" t="n">
        <x:v>48.51</x:v>
      </x:c>
      <x:c r="H36" s="16" t="n">
        <x:v>26.5</x:v>
      </x:c>
      <x:c r="I36" s="15" t="n">
        <x:v>28087.29</x:v>
      </x:c>
      <x:c r="J36" s="15" t="n">
        <x:v>15343.5</x:v>
      </x:c>
      <x:c r="K36" s="20" t="n">
        <x:f>IF(AND(ISNUMBER(C36),OR(D36="Wholesale",D36="Online"),OR(E36="Essentials",E36="Standard",E36="Premium"),COUNT(F36:J36)=5,MIN(F36:J36)&gt;=0,F36=INT(F36),COUNTIFS($C$9:$C$44,C36,$D$9:$D$44,D36,$E$9:$E$44,E36)=1,ABS(I36-ROUND(F36*G36,2))&lt;0.005,ABS(J36-ROUND(F36*H36,2))&lt;0.005),1,0)</x:f>
        <x:v>1</x:v>
      </x:c>
    </x:row>
    <x:row r="37" ht="20" customHeight="1">
      <x:c r="A37" s="2"/>
      <x:c r="B37" s="2"/>
      <x:c r="C37" s="18" t="n">
        <x:v>46143</x:v>
      </x:c>
      <x:c r="D37" s="2" t="str">
        <x:v>Online</x:v>
      </x:c>
      <x:c r="E37" s="2" t="str">
        <x:v>Standard</x:v>
      </x:c>
      <x:c r="F37" s="15" t="n">
        <x:v>759</x:v>
      </x:c>
      <x:c r="G37" s="16" t="n">
        <x:v>64.68</x:v>
      </x:c>
      <x:c r="H37" s="16" t="n">
        <x:v>33.12</x:v>
      </x:c>
      <x:c r="I37" s="15" t="n">
        <x:v>49092.12</x:v>
      </x:c>
      <x:c r="J37" s="15" t="n">
        <x:v>25138.08</x:v>
      </x:c>
      <x:c r="K37" s="20" t="n">
        <x:f>IF(AND(ISNUMBER(C37),OR(D37="Wholesale",D37="Online"),OR(E37="Essentials",E37="Standard",E37="Premium"),COUNT(F37:J37)=5,MIN(F37:J37)&gt;=0,F37=INT(F37),COUNTIFS($C$9:$C$44,C37,$D$9:$D$44,D37,$E$9:$E$44,E37)=1,ABS(I37-ROUND(F37*G37,2))&lt;0.005,ABS(J37-ROUND(F37*H37,2))&lt;0.005),1,0)</x:f>
        <x:v>1</x:v>
      </x:c>
    </x:row>
    <x:row r="38" ht="20" customHeight="1">
      <x:c r="A38" s="2"/>
      <x:c r="B38" s="2"/>
      <x:c r="C38" s="18" t="n">
        <x:v>46143</x:v>
      </x:c>
      <x:c r="D38" s="2" t="str">
        <x:v>Online</x:v>
      </x:c>
      <x:c r="E38" s="2" t="str">
        <x:v>Premium</x:v>
      </x:c>
      <x:c r="F38" s="15" t="n">
        <x:v>470</x:v>
      </x:c>
      <x:c r="G38" s="16" t="n">
        <x:v>80.85</x:v>
      </x:c>
      <x:c r="H38" s="16" t="n">
        <x:v>39.74</x:v>
      </x:c>
      <x:c r="I38" s="15" t="n">
        <x:v>37999.5</x:v>
      </x:c>
      <x:c r="J38" s="15" t="n">
        <x:v>18677.8</x:v>
      </x:c>
      <x:c r="K38" s="20" t="n">
        <x:f>IF(AND(ISNUMBER(C38),OR(D38="Wholesale",D38="Online"),OR(E38="Essentials",E38="Standard",E38="Premium"),COUNT(F38:J38)=5,MIN(F38:J38)&gt;=0,F38=INT(F38),COUNTIFS($C$9:$C$44,C38,$D$9:$D$44,D38,$E$9:$E$44,E38)=1,ABS(I38-ROUND(F38*G38,2))&lt;0.005,ABS(J38-ROUND(F38*H38,2))&lt;0.005),1,0)</x:f>
        <x:v>1</x:v>
      </x:c>
    </x:row>
    <x:row r="39" ht="20" customHeight="1">
      <x:c r="A39" s="2"/>
      <x:c r="B39" s="2"/>
      <x:c r="C39" s="18" t="n">
        <x:v>46174</x:v>
      </x:c>
      <x:c r="D39" s="2" t="str">
        <x:v>Wholesale</x:v>
      </x:c>
      <x:c r="E39" s="2" t="str">
        <x:v>Essentials</x:v>
      </x:c>
      <x:c r="F39" s="15" t="n">
        <x:v>2196</x:v>
      </x:c>
      <x:c r="G39" s="16" t="n">
        <x:v>38.78</x:v>
      </x:c>
      <x:c r="H39" s="16" t="n">
        <x:v>26.78</x:v>
      </x:c>
      <x:c r="I39" s="15" t="n">
        <x:v>85160.88</x:v>
      </x:c>
      <x:c r="J39" s="15" t="n">
        <x:v>58808.88</x:v>
      </x:c>
      <x:c r="K39" s="20" t="n">
        <x:f>IF(AND(ISNUMBER(C39),OR(D39="Wholesale",D39="Online"),OR(E39="Essentials",E39="Standard",E39="Premium"),COUNT(F39:J39)=5,MIN(F39:J39)&gt;=0,F39=INT(F39),COUNTIFS($C$9:$C$44,C39,$D$9:$D$44,D39,$E$9:$E$44,E39)=1,ABS(I39-ROUND(F39*G39,2))&lt;0.005,ABS(J39-ROUND(F39*H39,2))&lt;0.005),1,0)</x:f>
        <x:v>1</x:v>
      </x:c>
    </x:row>
    <x:row r="40" ht="20" customHeight="1">
      <x:c r="A40" s="2"/>
      <x:c r="B40" s="2"/>
      <x:c r="C40" s="18" t="n">
        <x:v>46174</x:v>
      </x:c>
      <x:c r="D40" s="2" t="str">
        <x:v>Wholesale</x:v>
      </x:c>
      <x:c r="E40" s="2" t="str">
        <x:v>Standard</x:v>
      </x:c>
      <x:c r="F40" s="15" t="n">
        <x:v>1267</x:v>
      </x:c>
      <x:c r="G40" s="16" t="n">
        <x:v>48.48</x:v>
      </x:c>
      <x:c r="H40" s="16" t="n">
        <x:v>31.5</x:v>
      </x:c>
      <x:c r="I40" s="15" t="n">
        <x:v>61424.16</x:v>
      </x:c>
      <x:c r="J40" s="15" t="n">
        <x:v>39910.5</x:v>
      </x:c>
      <x:c r="K40" s="20" t="n">
        <x:f>IF(AND(ISNUMBER(C40),OR(D40="Wholesale",D40="Online"),OR(E40="Essentials",E40="Standard",E40="Premium"),COUNT(F40:J40)=5,MIN(F40:J40)&gt;=0,F40=INT(F40),COUNTIFS($C$9:$C$44,C40,$D$9:$D$44,D40,$E$9:$E$44,E40)=1,ABS(I40-ROUND(F40*G40,2))&lt;0.005,ABS(J40-ROUND(F40*H40,2))&lt;0.005),1,0)</x:f>
        <x:v>1</x:v>
      </x:c>
    </x:row>
    <x:row r="41" ht="20" customHeight="1">
      <x:c r="A41" s="2"/>
      <x:c r="B41" s="2"/>
      <x:c r="C41" s="18" t="n">
        <x:v>46174</x:v>
      </x:c>
      <x:c r="D41" s="2" t="str">
        <x:v>Wholesale</x:v>
      </x:c>
      <x:c r="E41" s="2" t="str">
        <x:v>Premium</x:v>
      </x:c>
      <x:c r="F41" s="15" t="n">
        <x:v>761</x:v>
      </x:c>
      <x:c r="G41" s="16" t="n">
        <x:v>72.72</x:v>
      </x:c>
      <x:c r="H41" s="16" t="n">
        <x:v>43.31</x:v>
      </x:c>
      <x:c r="I41" s="15" t="n">
        <x:v>55339.92</x:v>
      </x:c>
      <x:c r="J41" s="15" t="n">
        <x:v>32958.91</x:v>
      </x:c>
      <x:c r="K41" s="20" t="n">
        <x:f>IF(AND(ISNUMBER(C41),OR(D41="Wholesale",D41="Online"),OR(E41="Essentials",E41="Standard",E41="Premium"),COUNT(F41:J41)=5,MIN(F41:J41)&gt;=0,F41=INT(F41),COUNTIFS($C$9:$C$44,C41,$D$9:$D$44,D41,$E$9:$E$44,E41)=1,ABS(I41-ROUND(F41*G41,2))&lt;0.005,ABS(J41-ROUND(F41*H41,2))&lt;0.005),1,0)</x:f>
        <x:v>1</x:v>
      </x:c>
    </x:row>
    <x:row r="42" ht="20" customHeight="1">
      <x:c r="A42" s="2"/>
      <x:c r="B42" s="2"/>
      <x:c r="C42" s="18" t="n">
        <x:v>46174</x:v>
      </x:c>
      <x:c r="D42" s="2" t="str">
        <x:v>Online</x:v>
      </x:c>
      <x:c r="E42" s="2" t="str">
        <x:v>Essentials</x:v>
      </x:c>
      <x:c r="F42" s="15" t="n">
        <x:v>602</x:v>
      </x:c>
      <x:c r="G42" s="16" t="n">
        <x:v>48.76</x:v>
      </x:c>
      <x:c r="H42" s="16" t="n">
        <x:v>26.37</x:v>
      </x:c>
      <x:c r="I42" s="15" t="n">
        <x:v>29353.52</x:v>
      </x:c>
      <x:c r="J42" s="15" t="n">
        <x:v>15874.74</x:v>
      </x:c>
      <x:c r="K42" s="20" t="n">
        <x:f>IF(AND(ISNUMBER(C42),OR(D42="Wholesale",D42="Online"),OR(E42="Essentials",E42="Standard",E42="Premium"),COUNT(F42:J42)=5,MIN(F42:J42)&gt;=0,F42=INT(F42),COUNTIFS($C$9:$C$44,C42,$D$9:$D$44,D42,$E$9:$E$44,E42)=1,ABS(I42-ROUND(F42*G42,2))&lt;0.005,ABS(J42-ROUND(F42*H42,2))&lt;0.005),1,0)</x:f>
        <x:v>1</x:v>
      </x:c>
    </x:row>
    <x:row r="43" ht="20" customHeight="1">
      <x:c r="A43" s="2"/>
      <x:c r="B43" s="2"/>
      <x:c r="C43" s="18" t="n">
        <x:v>46174</x:v>
      </x:c>
      <x:c r="D43" s="2" t="str">
        <x:v>Online</x:v>
      </x:c>
      <x:c r="E43" s="2" t="str">
        <x:v>Standard</x:v>
      </x:c>
      <x:c r="F43" s="15" t="n">
        <x:v>790</x:v>
      </x:c>
      <x:c r="G43" s="16" t="n">
        <x:v>65.01</x:v>
      </x:c>
      <x:c r="H43" s="16" t="n">
        <x:v>32.96</x:v>
      </x:c>
      <x:c r="I43" s="15" t="n">
        <x:v>51357.9</x:v>
      </x:c>
      <x:c r="J43" s="15" t="n">
        <x:v>26038.4</x:v>
      </x:c>
      <x:c r="K43" s="20" t="n">
        <x:f>IF(AND(ISNUMBER(C43),OR(D43="Wholesale",D43="Online"),OR(E43="Essentials",E43="Standard",E43="Premium"),COUNT(F43:J43)=5,MIN(F43:J43)&gt;=0,F43=INT(F43),COUNTIFS($C$9:$C$44,C43,$D$9:$D$44,D43,$E$9:$E$44,E43)=1,ABS(I43-ROUND(F43*G43,2))&lt;0.005,ABS(J43-ROUND(F43*H43,2))&lt;0.005),1,0)</x:f>
        <x:v>1</x:v>
      </x:c>
    </x:row>
    <x:row r="44" ht="20" customHeight="1">
      <x:c r="A44" s="2"/>
      <x:c r="B44" s="2"/>
      <x:c r="C44" s="18" t="n">
        <x:v>46174</x:v>
      </x:c>
      <x:c r="D44" s="2" t="str">
        <x:v>Online</x:v>
      </x:c>
      <x:c r="E44" s="2" t="str">
        <x:v>Premium</x:v>
      </x:c>
      <x:c r="F44" s="15" t="n">
        <x:v>490</x:v>
      </x:c>
      <x:c r="G44" s="16" t="n">
        <x:v>81.26</x:v>
      </x:c>
      <x:c r="H44" s="16" t="n">
        <x:v>39.55</x:v>
      </x:c>
      <x:c r="I44" s="15" t="n">
        <x:v>39817.4</x:v>
      </x:c>
      <x:c r="J44" s="15" t="n">
        <x:v>19379.5</x:v>
      </x:c>
      <x:c r="K44" s="20" t="n">
        <x:f>IF(AND(ISNUMBER(C44),OR(D44="Wholesale",D44="Online"),OR(E44="Essentials",E44="Standard",E44="Premium"),COUNT(F44:J44)=5,MIN(F44:J44)&gt;=0,F44=INT(F44),COUNTIFS($C$9:$C$44,C44,$D$9:$D$44,D44,$E$9:$E$44,E44)=1,ABS(I44-ROUND(F44*G44,2))&lt;0.005,ABS(J44-ROUND(F44*H44,2))&lt;0.005),1,0)</x:f>
        <x:v>1</x:v>
      </x:c>
    </x:row>
    <x:row r="45" ht="20" customHeight="1">
      <x:c r="A45" s="2"/>
      <x:c r="B45" s="2"/>
      <x:c r="C45" s="2"/>
      <x:c r="D45" s="2"/>
      <x:c r="E45" s="2"/>
      <x:c r="F45" s="2"/>
      <x:c r="G45" s="2"/>
      <x:c r="H45" s="2"/>
      <x:c r="I45" s="2"/>
      <x:c r="J45" s="2"/>
      <x:c r="K45" s="2"/>
    </x:row>
    <x:row r="46" ht="20" customHeight="1">
      <x:c r="A46" s="2"/>
      <x:c r="B46" s="2"/>
      <x:c r="C46" s="2"/>
      <x:c r="D46" s="2"/>
      <x:c r="E46" s="2"/>
      <x:c r="F46" s="2"/>
      <x:c r="G46" s="2"/>
      <x:c r="H46" s="2"/>
      <x:c r="I46" s="2"/>
      <x:c r="J46" s="2"/>
      <x:c r="K46" s="2"/>
    </x:row>
    <x:row r="47" ht="24" customHeight="1">
      <x:c r="A47" s="2"/>
      <x:c r="B47" s="2"/>
      <x:c r="C47" s="11" t="str">
        <x:v>Operating expense actuals</x:v>
      </x:c>
      <x:c r="D47" s="11"/>
      <x:c r="E47" s="11"/>
      <x:c r="F47" s="11"/>
      <x:c r="G47" s="11"/>
      <x:c r="H47" s="11"/>
      <x:c r="I47" s="11"/>
      <x:c r="J47" s="11"/>
      <x:c r="K47" s="2"/>
    </x:row>
    <x:row r="48" ht="20" customHeight="1">
      <x:c r="A48" s="2"/>
      <x:c r="B48" s="2"/>
      <x:c r="C48" s="2"/>
      <x:c r="D48" s="2"/>
      <x:c r="E48" s="2"/>
      <x:c r="F48" s="2"/>
      <x:c r="G48" s="2"/>
      <x:c r="H48" s="2"/>
      <x:c r="I48" s="2"/>
      <x:c r="J48" s="2"/>
      <x:c r="K48" s="2"/>
    </x:row>
    <x:row r="49" ht="34" customHeight="1">
      <x:c r="A49" s="2"/>
      <x:c r="B49" s="2"/>
      <x:c r="C49" s="12" t="str">
        <x:v>Month</x:v>
      </x:c>
      <x:c r="D49" s="12" t="str">
        <x:v>Paid FTE</x:v>
      </x:c>
      <x:c r="E49" s="12" t="str">
        <x:v>Employer load</x:v>
      </x:c>
      <x:c r="F49" s="12" t="str">
        <x:v>Payroll</x:v>
      </x:c>
      <x:c r="G49" s="12" t="str">
        <x:v>Wholesale delivery</x:v>
      </x:c>
      <x:c r="H49" s="12" t="str">
        <x:v>Online fulfilment</x:v>
      </x:c>
      <x:c r="I49" s="12" t="str">
        <x:v>Marketing</x:v>
      </x:c>
      <x:c r="J49" s="12" t="str">
        <x:v>Fixed opex</x:v>
      </x:c>
      <x:c r="K49" s="12" t="str">
        <x:v>Record eligible</x:v>
      </x:c>
    </x:row>
    <x:row r="50" ht="20" customHeight="1">
      <x:c r="A50" s="2"/>
      <x:c r="B50" s="2"/>
      <x:c r="C50" s="13" t="n">
        <x:v>46023</x:v>
      </x:c>
      <x:c r="D50" s="15" t="n">
        <x:v>7</x:v>
      </x:c>
      <x:c r="E50" s="19" t="n">
        <x:v>0.15</x:v>
      </x:c>
      <x:c r="F50" s="15" t="n">
        <x:v>44275</x:v>
      </x:c>
      <x:c r="G50" s="15" t="n">
        <x:v>4122.5</x:v>
      </x:c>
      <x:c r="H50" s="15" t="n">
        <x:v>7056.4</x:v>
      </x:c>
      <x:c r="I50" s="15" t="n">
        <x:v>11411.94</x:v>
      </x:c>
      <x:c r="J50" s="15" t="n">
        <x:v>13000</x:v>
      </x:c>
      <x:c r="K50" s="20" t="n">
        <x:f>IF(AND(ISNUMBER(C50),COUNT(D50:J50)=7,MIN(D50:J50)&gt;=0,COUNTIFS($C$50:$C$55,C50)=1),1,0)</x:f>
        <x:v>1</x:v>
      </x:c>
    </x:row>
    <x:row r="51" ht="20" customHeight="1">
      <x:c r="A51" s="2"/>
      <x:c r="B51" s="2"/>
      <x:c r="C51" s="13" t="n">
        <x:v>46054</x:v>
      </x:c>
      <x:c r="D51" s="15" t="n">
        <x:v>7</x:v>
      </x:c>
      <x:c r="E51" s="19" t="n">
        <x:v>0.15</x:v>
      </x:c>
      <x:c r="F51" s="15" t="n">
        <x:v>44275</x:v>
      </x:c>
      <x:c r="G51" s="15" t="n">
        <x:v>4080</x:v>
      </x:c>
      <x:c r="H51" s="15" t="n">
        <x:v>7638.8</x:v>
      </x:c>
      <x:c r="I51" s="15" t="n">
        <x:v>13237.17</x:v>
      </x:c>
      <x:c r="J51" s="15" t="n">
        <x:v>13100</x:v>
      </x:c>
      <x:c r="K51" s="20" t="n">
        <x:f>IF(AND(ISNUMBER(C51),COUNT(D51:J51)=7,MIN(D51:J51)&gt;=0,COUNTIFS($C$50:$C$55,C51)=1),1,0)</x:f>
        <x:v>1</x:v>
      </x:c>
    </x:row>
    <x:row r="52" ht="20" customHeight="1">
      <x:c r="A52" s="2"/>
      <x:c r="B52" s="2"/>
      <x:c r="C52" s="13" t="n">
        <x:v>46082</x:v>
      </x:c>
      <x:c r="D52" s="15" t="n">
        <x:v>7</x:v>
      </x:c>
      <x:c r="E52" s="19" t="n">
        <x:v>0.15</x:v>
      </x:c>
      <x:c r="F52" s="15" t="n">
        <x:v>44717.75</x:v>
      </x:c>
      <x:c r="G52" s="15" t="n">
        <x:v>4465</x:v>
      </x:c>
      <x:c r="H52" s="15" t="n">
        <x:v>8694.4</x:v>
      </x:c>
      <x:c r="I52" s="15" t="n">
        <x:v>16060.76</x:v>
      </x:c>
      <x:c r="J52" s="15" t="n">
        <x:v>13300</x:v>
      </x:c>
      <x:c r="K52" s="20" t="n">
        <x:f>IF(AND(ISNUMBER(C52),COUNT(D52:J52)=7,MIN(D52:J52)&gt;=0,COUNTIFS($C$50:$C$55,C52)=1),1,0)</x:f>
        <x:v>1</x:v>
      </x:c>
    </x:row>
    <x:row r="53" ht="20" customHeight="1">
      <x:c r="A53" s="2"/>
      <x:c r="B53" s="2"/>
      <x:c r="C53" s="13" t="n">
        <x:v>46113</x:v>
      </x:c>
      <x:c r="D53" s="15" t="n">
        <x:v>7</x:v>
      </x:c>
      <x:c r="E53" s="19" t="n">
        <x:v>0.15</x:v>
      </x:c>
      <x:c r="F53" s="15" t="n">
        <x:v>44939.12</x:v>
      </x:c>
      <x:c r="G53" s="15" t="n">
        <x:v>4600</x:v>
      </x:c>
      <x:c r="H53" s="15" t="n">
        <x:v>9484.8</x:v>
      </x:c>
      <x:c r="I53" s="15" t="n">
        <x:v>17918.7</x:v>
      </x:c>
      <x:c r="J53" s="15" t="n">
        <x:v>13500</x:v>
      </x:c>
      <x:c r="K53" s="20" t="n">
        <x:f>IF(AND(ISNUMBER(C53),COUNT(D53:J53)=7,MIN(D53:J53)&gt;=0,COUNTIFS($C$50:$C$55,C53)=1),1,0)</x:f>
        <x:v>1</x:v>
      </x:c>
    </x:row>
    <x:row r="54" ht="20" customHeight="1">
      <x:c r="A54" s="2"/>
      <x:c r="B54" s="2"/>
      <x:c r="C54" s="13" t="n">
        <x:v>46143</x:v>
      </x:c>
      <x:c r="D54" s="15" t="n">
        <x:v>7</x:v>
      </x:c>
      <x:c r="E54" s="19" t="n">
        <x:v>0.15</x:v>
      </x:c>
      <x:c r="F54" s="15" t="n">
        <x:v>45160.5</x:v>
      </x:c>
      <x:c r="G54" s="15" t="n">
        <x:v>4987.5</x:v>
      </x:c>
      <x:c r="H54" s="15" t="n">
        <x:v>9401.6</x:v>
      </x:c>
      <x:c r="I54" s="15" t="n">
        <x:v>17276.84</x:v>
      </x:c>
      <x:c r="J54" s="15" t="n">
        <x:v>13500</x:v>
      </x:c>
      <x:c r="K54" s="20" t="n">
        <x:f>IF(AND(ISNUMBER(C54),COUNT(D54:J54)=7,MIN(D54:J54)&gt;=0,COUNTIFS($C$50:$C$55,C54)=1),1,0)</x:f>
        <x:v>1</x:v>
      </x:c>
    </x:row>
    <x:row r="55" ht="20" customHeight="1">
      <x:c r="A55" s="2"/>
      <x:c r="B55" s="2"/>
      <x:c r="C55" s="13" t="n">
        <x:v>46174</x:v>
      </x:c>
      <x:c r="D55" s="15" t="n">
        <x:v>7</x:v>
      </x:c>
      <x:c r="E55" s="19" t="n">
        <x:v>0.15</x:v>
      </x:c>
      <x:c r="F55" s="15" t="n">
        <x:v>45160.5</x:v>
      </x:c>
      <x:c r="G55" s="15" t="n">
        <x:v>5280</x:v>
      </x:c>
      <x:c r="H55" s="15" t="n">
        <x:v>9786.4</x:v>
      </x:c>
      <x:c r="I55" s="15" t="n">
        <x:v>17476.68</x:v>
      </x:c>
      <x:c r="J55" s="15" t="n">
        <x:v>13400</x:v>
      </x:c>
      <x:c r="K55" s="20" t="n">
        <x:f>IF(AND(ISNUMBER(C55),COUNT(D55:J55)=7,MIN(D55:J55)&gt;=0,COUNTIFS($C$50:$C$55,C55)=1),1,0)</x:f>
        <x:v>1</x:v>
      </x:c>
    </x:row>
    <x:row r="56" ht="20" customHeight="1">
      <x:c r="A56" s="2"/>
      <x:c r="B56" s="2"/>
      <x:c r="C56" s="2"/>
      <x:c r="D56" s="2"/>
      <x:c r="E56" s="2"/>
      <x:c r="F56" s="2"/>
      <x:c r="G56" s="2"/>
      <x:c r="H56" s="2"/>
      <x:c r="I56" s="2"/>
      <x:c r="J56" s="2"/>
      <x:c r="K56" s="2"/>
    </x:row>
    <x:row r="57" ht="20" customHeight="1">
      <x:c r="A57" s="2"/>
      <x:c r="B57" s="2"/>
      <x:c r="C57" s="2"/>
      <x:c r="D57" s="2"/>
      <x:c r="E57" s="2"/>
      <x:c r="F57" s="2"/>
      <x:c r="G57" s="2"/>
      <x:c r="H57" s="2"/>
      <x:c r="I57" s="2"/>
      <x:c r="J57" s="2"/>
      <x:c r="K57" s="2"/>
    </x:row>
    <x:row r="58" ht="20" customHeight="1">
      <x:c r="A58" s="2"/>
      <x:c r="B58" s="2"/>
      <x:c r="C58" s="2" t="str">
        <x:v>Source control totals</x:v>
      </x:c>
      <x:c r="D58" s="2"/>
      <x:c r="E58" s="2"/>
      <x:c r="F58" s="2"/>
      <x:c r="G58" s="2"/>
      <x:c r="H58" s="2"/>
      <x:c r="I58" s="2"/>
      <x:c r="J58" s="2"/>
      <x:c r="K58" s="2"/>
    </x:row>
    <x:row r="59" ht="20" customHeight="1">
      <x:c r="A59" s="2"/>
      <x:c r="B59" s="2"/>
      <x:c r="C59" s="2"/>
      <x:c r="D59" s="2" t="str">
        <x:v>Revenue</x:v>
      </x:c>
      <x:c r="E59" s="2" t="str">
        <x:v>COGS</x:v>
      </x:c>
      <x:c r="F59" s="2" t="str">
        <x:v>Payroll</x:v>
      </x:c>
      <x:c r="G59" s="2" t="str">
        <x:v>Fulfilment</x:v>
      </x:c>
      <x:c r="H59" s="2" t="str">
        <x:v>Marketing</x:v>
      </x:c>
      <x:c r="I59" s="2" t="str">
        <x:v>Fixed opex</x:v>
      </x:c>
      <x:c r="J59" s="2"/>
      <x:c r="K59" s="2"/>
    </x:row>
    <x:row r="60" ht="20" customHeight="1">
      <x:c r="A60" s="2"/>
      <x:c r="B60" s="2"/>
      <x:c r="C60" s="2"/>
      <x:c r="D60" s="15" t="n">
        <x:v>1683767.28</x:v>
      </x:c>
      <x:c r="E60" s="15" t="n">
        <x:v>1007252.24</x:v>
      </x:c>
      <x:c r="F60" s="15" t="n">
        <x:v>268527.87</x:v>
      </x:c>
      <x:c r="G60" s="15" t="n">
        <x:v>79597.4</x:v>
      </x:c>
      <x:c r="H60" s="15" t="n">
        <x:v>93382.09</x:v>
      </x:c>
      <x:c r="I60" s="15" t="n">
        <x:v>79800</x:v>
      </x:c>
      <x:c r="J60" s="2"/>
      <x:c r="K60" s="2"/>
    </x:row>
    <x:row r="61" ht="20" customHeight="1">
      <x:c r="A61" s="2"/>
      <x:c r="B61" s="2"/>
      <x:c r="C61" s="2"/>
      <x:c r="D61" s="2"/>
      <x:c r="E61" s="2"/>
      <x:c r="F61" s="2"/>
      <x:c r="G61" s="2"/>
      <x:c r="H61" s="2"/>
      <x:c r="I61" s="2"/>
      <x:c r="J61" s="2"/>
      <x:c r="K61" s="2"/>
    </x:row>
    <x:row r="62" ht="20" customHeight="1">
      <x:c r="A62" s="2"/>
      <x:c r="B62" s="2"/>
      <x:c r="C62" s="22" t="str">
        <x:v>Control totals are retained from the same synthetic dataset. They are not independent external evidence.</x:v>
      </x:c>
      <x:c r="D62" s="22"/>
      <x:c r="E62" s="22"/>
      <x:c r="F62" s="22"/>
      <x:c r="G62" s="22"/>
      <x:c r="H62" s="22"/>
      <x:c r="I62" s="22"/>
      <x:c r="J62" s="22"/>
      <x:c r="K62" s="22"/>
    </x:row>
    <x:row r="63" ht="20" customHeight="1">
      <x:c r="A63" s="2"/>
      <x:c r="B63" s="2"/>
      <x:c r="C63" s="22"/>
      <x:c r="D63" s="22"/>
      <x:c r="E63" s="22"/>
      <x:c r="F63" s="22"/>
      <x:c r="G63" s="22"/>
      <x:c r="H63" s="22"/>
      <x:c r="I63" s="22"/>
      <x:c r="J63" s="22"/>
      <x:c r="K63" s="22"/>
    </x:row>
    <x:row r="64" ht="20" customHeight="1">
      <x:c r="A64" s="2"/>
      <x:c r="B64" s="2"/>
      <x:c r="C64" s="2"/>
      <x:c r="D64" s="2"/>
      <x:c r="E64" s="2"/>
      <x:c r="F64" s="2"/>
      <x:c r="G64" s="2"/>
      <x:c r="H64" s="2"/>
      <x:c r="I64" s="2"/>
      <x:c r="J64" s="2"/>
      <x:c r="K64" s="2"/>
    </x:row>
    <x:row r="65" ht="20" customHeight="1">
      <x:c r="A65" s="2"/>
      <x:c r="B65" s="2"/>
      <x:c r="C65" s="22" t="str">
        <x:v>Net revenue excludes sales tax. Unit prices are net of simulated discounts. COGS excludes fulfilment.</x:v>
      </x:c>
      <x:c r="D65" s="22"/>
      <x:c r="E65" s="22"/>
      <x:c r="F65" s="22"/>
      <x:c r="G65" s="22"/>
      <x:c r="H65" s="22"/>
      <x:c r="I65" s="22"/>
      <x:c r="J65" s="22"/>
      <x:c r="K65" s="22"/>
    </x:row>
    <x:row r="66" ht="20" customHeight="1">
      <x:c r="A66" s="2"/>
      <x:c r="B66" s="2"/>
      <x:c r="C66" s="22"/>
      <x:c r="D66" s="22"/>
      <x:c r="E66" s="22"/>
      <x:c r="F66" s="22"/>
      <x:c r="G66" s="22"/>
      <x:c r="H66" s="22"/>
      <x:c r="I66" s="22"/>
      <x:c r="J66" s="22"/>
      <x:c r="K66" s="22"/>
    </x:row>
    <x:row r="67" ht="20" customHeight="1">
      <x:c r="A67" s="2"/>
      <x:c r="B67" s="2"/>
      <x:c r="C67" s="22" t="str">
        <x:v>Payroll includes simulated overtime. Fixed opex combines rent, software and administration.</x:v>
      </x:c>
      <x:c r="D67" s="22"/>
      <x:c r="E67" s="22"/>
      <x:c r="F67" s="22"/>
      <x:c r="G67" s="22"/>
      <x:c r="H67" s="22"/>
      <x:c r="I67" s="22"/>
      <x:c r="J67" s="22"/>
      <x:c r="K67" s="22"/>
    </x:row>
    <x:row r="68" ht="20" customHeight="1">
      <x:c r="A68" s="2"/>
      <x:c r="B68" s="2"/>
      <x:c r="C68" s="22"/>
      <x:c r="D68" s="22"/>
      <x:c r="E68" s="22"/>
      <x:c r="F68" s="22"/>
      <x:c r="G68" s="22"/>
      <x:c r="H68" s="22"/>
      <x:c r="I68" s="22"/>
      <x:c r="J68" s="22"/>
      <x:c r="K68" s="22"/>
    </x:row>
    <x:row r="69" ht="20" customHeight="1">
      <x:c r="A69" s="2"/>
      <x:c r="B69" s="2"/>
      <x:c r="C69" s="22" t="str">
        <x:v>All amounts are fictional. No Primo Impex records, client information or real company results are used.</x:v>
      </x:c>
      <x:c r="D69" s="22"/>
      <x:c r="E69" s="22"/>
      <x:c r="F69" s="22"/>
      <x:c r="G69" s="22"/>
      <x:c r="H69" s="22"/>
      <x:c r="I69" s="22"/>
      <x:c r="J69" s="22"/>
      <x:c r="K69" s="22"/>
    </x:row>
    <x:row r="70" ht="20" customHeight="1">
      <x:c r="A70" s="2"/>
      <x:c r="B70" s="2"/>
      <x:c r="C70" s="22"/>
      <x:c r="D70" s="22"/>
      <x:c r="E70" s="22"/>
      <x:c r="F70" s="22"/>
      <x:c r="G70" s="22"/>
      <x:c r="H70" s="22"/>
      <x:c r="I70" s="22"/>
      <x:c r="J70" s="22"/>
      <x:c r="K70" s="22"/>
    </x:row>
    <x:row r="71" ht="20" customHeight="1">
      <x:c r="A71" s="2"/>
      <x:c r="B71" s="2"/>
      <x:c r="C71" s="22" t="str">
        <x:v>Record eligible: 1 = complete numeric record with a unique key. Sales totals must equal units x unit rate.</x:v>
      </x:c>
      <x:c r="D71" s="22"/>
      <x:c r="E71" s="22"/>
      <x:c r="F71" s="22"/>
      <x:c r="G71" s="22"/>
      <x:c r="H71" s="22"/>
      <x:c r="I71" s="22"/>
      <x:c r="J71" s="22"/>
      <x:c r="K71" s="22"/>
    </x:row>
    <x:row r="72" ht="20" customHeight="1">
      <x:c r="A72" s="2"/>
      <x:c r="B72" s="2"/>
      <x:c r="C72" s="22"/>
      <x:c r="D72" s="22"/>
      <x:c r="E72" s="22"/>
      <x:c r="F72" s="22"/>
      <x:c r="G72" s="22"/>
      <x:c r="H72" s="22"/>
      <x:c r="I72" s="22"/>
      <x:c r="J72" s="22"/>
      <x:c r="K72" s="22"/>
    </x:row>
    <x:row r="73" ht="20" customHeight="1">
      <x:c r="A73" s="2"/>
      <x:c r="B73" s="2"/>
      <x:c r="C73" s="22" t="str">
        <x:v>Record eligible: 0 = input needs correction. Affected results show #N/A until the source record is corrected.</x:v>
      </x:c>
      <x:c r="D73" s="22"/>
      <x:c r="E73" s="22"/>
      <x:c r="F73" s="22"/>
      <x:c r="G73" s="22"/>
      <x:c r="H73" s="22"/>
      <x:c r="I73" s="22"/>
      <x:c r="J73" s="22"/>
      <x:c r="K73" s="22"/>
    </x:row>
    <x:row r="74" ht="20" customHeight="1">
      <x:c r="A74" s="2"/>
      <x:c r="B74" s="2"/>
      <x:c r="C74" s="22"/>
      <x:c r="D74" s="22"/>
      <x:c r="E74" s="22"/>
      <x:c r="F74" s="22"/>
      <x:c r="G74" s="22"/>
      <x:c r="H74" s="22"/>
      <x:c r="I74" s="22"/>
      <x:c r="J74" s="22"/>
      <x:c r="K74" s="22"/>
    </x:row>
    <x:row r="75" ht="20" customHeight="1">
      <x:c r="A75" s="2"/>
      <x:c r="B75" s="2"/>
      <x:c r="C75" s="2"/>
      <x:c r="D75" s="2"/>
      <x:c r="E75" s="2"/>
      <x:c r="F75" s="2"/>
      <x:c r="G75" s="2"/>
      <x:c r="H75" s="2"/>
      <x:c r="I75" s="2"/>
      <x:c r="J75" s="2"/>
      <x:c r="K75" s="2"/>
    </x:row>
    <x:row r="76" ht="20" customHeight="1">
      <x:c r="A76" s="2"/>
      <x:c r="B76" s="2"/>
      <x:c r="C76" s="2"/>
      <x:c r="D76" s="2"/>
      <x:c r="E76" s="2"/>
      <x:c r="F76" s="2"/>
      <x:c r="G76" s="2"/>
      <x:c r="H76" s="2"/>
      <x:c r="I76" s="2"/>
      <x:c r="J76" s="2"/>
      <x:c r="K76" s="2"/>
    </x:row>
    <x:row r="77" ht="20" customHeight="1">
      <x:c r="A77" s="2"/>
      <x:c r="B77" s="2"/>
      <x:c r="C77" s="2"/>
      <x:c r="D77" s="2"/>
      <x:c r="E77" s="2"/>
      <x:c r="F77" s="2"/>
      <x:c r="G77" s="2"/>
      <x:c r="H77" s="2"/>
      <x:c r="I77" s="2"/>
      <x:c r="J77" s="2"/>
      <x:c r="K77" s="2"/>
    </x:row>
    <x:row r="78" ht="20" customHeight="1">
      <x:c r="A78" s="2"/>
      <x:c r="B78" s="2"/>
      <x:c r="C78" s="2"/>
      <x:c r="D78" s="2"/>
      <x:c r="E78" s="2"/>
      <x:c r="F78" s="2"/>
      <x:c r="G78" s="2"/>
      <x:c r="H78" s="2"/>
      <x:c r="I78" s="2"/>
      <x:c r="J78" s="2"/>
      <x:c r="K78" s="2"/>
    </x:row>
  </x:sheetData>
  <x:sheetProtection password="BE0E" sheet="1" objects="1" scenarios="1" formatCells="1" formatColumns="1" formatRows="1" insertColumns="1" insertRows="1" insertHyperlinks="1" deleteColumns="1" deleteRows="1" selectLockedCells="0" sort="1" autoFilter="1" pivotTables="1" selectUnlockedCells="0"/>
  <x:mergeCells>
    <x:mergeCell ref="C62:K63"/>
    <x:mergeCell ref="C65:K66"/>
    <x:mergeCell ref="C67:K68"/>
    <x:mergeCell ref="C69:K70"/>
    <x:mergeCell ref="C71:K72"/>
    <x:mergeCell ref="C73:K74"/>
  </x:mergeCells>
  <x:conditionalFormatting sqref="K9:K44">
    <x:cfRule type="cellIs" dxfId="0" priority="1" operator="equal">
      <x:formula>0</x:formula>
    </x:cfRule>
  </x:conditionalFormatting>
  <x:conditionalFormatting sqref="K50:K55">
    <x:cfRule type="cellIs" dxfId="1" priority="2" operator="equal">
      <x:formula>0</x:formula>
    </x:cfRule>
  </x:conditionalFormatting>
  <x:pageMargins left="0.7" right="0.7" top="0.75" bottom="0.75" header="0.3" footer="0.3"/>
  <x:tableParts count="1">
    <x:tablePart xmlns:r="http://schemas.openxmlformats.org/officeDocument/2006/relationships" r:id="Rb51799fa076f4bcc"/>
  </x:tableParts>
</x:worksheet>
</file>

<file path=xl/worksheets/sheet6.xml><?xml version="1.0" encoding="utf-8"?>
<x:worksheet xmlns:x="http://schemas.openxmlformats.org/spreadsheetml/2006/main">
  <x:sheetPr>
    <x:tabColor rgb="FFA6AAA9"/>
  </x:sheetPr>
  <x:sheetViews>
    <x:sheetView showGridLines="0" workbookViewId="0"/>
  </x:sheetViews>
  <x:sheetFormatPr defaultRowHeight="15"/>
  <x:cols>
    <x:col min="1" max="1" width="2.200000047683716" hidden="0" customWidth="1"/>
    <x:col min="2" max="2" width="2.200000047683716" hidden="0" customWidth="1"/>
    <x:col min="3" max="3" width="39"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s>
  <x:sheetData>
    <x:row r="1" ht="20" customHeight="1">
      <x:c r="A1" s="2"/>
      <x:c r="B1" s="2"/>
      <x:c r="C1" s="2"/>
      <x:c r="D1" s="2"/>
      <x:c r="E1" s="2"/>
      <x:c r="F1" s="2"/>
      <x:c r="G1" s="2"/>
      <x:c r="H1" s="2"/>
      <x:c r="I1" s="2"/>
      <x:c r="J1" s="2"/>
      <x:c r="K1" s="2"/>
      <x:c r="L1" s="2"/>
    </x:row>
    <x:row r="2" ht="29" customHeight="1">
      <x:c r="A2" s="2"/>
      <x:c r="B2" s="2"/>
      <x:c r="C2" s="3" t="str">
        <x:v>Model methodology and assumptions</x:v>
      </x:c>
      <x:c r="D2" s="2"/>
      <x:c r="E2" s="2"/>
      <x:c r="F2" s="2"/>
      <x:c r="G2" s="2"/>
      <x:c r="H2" s="2"/>
      <x:c r="I2" s="2"/>
      <x:c r="J2" s="2"/>
      <x:c r="K2" s="2"/>
      <x:c r="L2" s="2"/>
    </x:row>
    <x:row r="3" ht="23" customHeight="1">
      <x:c r="A3" s="2"/>
      <x:c r="B3" s="2"/>
      <x:c r="C3" s="5" t="str">
        <x:v>Northline Trading. Independent FP&amp;A project by Trimanjeev Sawhney.</x:v>
      </x:c>
      <x:c r="D3" s="4"/>
      <x:c r="E3" s="4"/>
      <x:c r="F3" s="4"/>
      <x:c r="G3" s="4"/>
      <x:c r="H3" s="4"/>
      <x:c r="I3" s="4"/>
      <x:c r="J3" s="4"/>
      <x:c r="K3" s="4"/>
      <x:c r="L3" s="4"/>
    </x:row>
    <x:row r="4" ht="20" customHeight="1">
      <x:c r="A4" s="2"/>
      <x:c r="B4" s="2"/>
      <x:c r="C4" s="2"/>
      <x:c r="D4" s="2"/>
      <x:c r="E4" s="2"/>
      <x:c r="F4" s="2"/>
      <x:c r="G4" s="2"/>
      <x:c r="H4" s="2"/>
      <x:c r="I4" s="2"/>
      <x:c r="J4" s="2"/>
      <x:c r="K4" s="2"/>
      <x:c r="L4" s="2"/>
    </x:row>
    <x:row r="5" ht="20" customHeight="1">
      <x:c r="A5" s="2"/>
      <x:c r="B5" s="2"/>
      <x:c r="C5" s="2" t="str">
        <x:v>Case selected:</x:v>
      </x:c>
      <x:c r="D5" s="8" t="str">
        <x:f>'Assumptions'!E5</x:f>
        <x:v>Base</x:v>
      </x:c>
      <x:c r="E5" s="2"/>
      <x:c r="F5" s="2"/>
      <x:c r="G5" s="2"/>
      <x:c r="H5" s="2"/>
      <x:c r="I5" s="2"/>
      <x:c r="J5" s="2"/>
      <x:c r="K5" s="2"/>
      <x:c r="L5" s="2"/>
    </x:row>
    <x:row r="6" ht="20" customHeight="1">
      <x:c r="A6" s="2"/>
      <x:c r="B6" s="2"/>
      <x:c r="C6" s="2"/>
      <x:c r="D6" s="2"/>
      <x:c r="E6" s="2"/>
      <x:c r="F6" s="2"/>
      <x:c r="G6" s="2"/>
      <x:c r="H6" s="2"/>
      <x:c r="I6" s="2"/>
      <x:c r="J6" s="2"/>
      <x:c r="K6" s="2"/>
      <x:c r="L6" s="2"/>
    </x:row>
    <x:row r="7" ht="20" customHeight="1">
      <x:c r="A7" s="2"/>
      <x:c r="B7" s="2"/>
      <x:c r="C7" s="2"/>
      <x:c r="D7" s="2"/>
      <x:c r="E7" s="2"/>
      <x:c r="F7" s="2"/>
      <x:c r="G7" s="2"/>
      <x:c r="H7" s="2"/>
      <x:c r="I7" s="2"/>
      <x:c r="J7" s="2"/>
      <x:c r="K7" s="2"/>
      <x:c r="L7" s="2"/>
    </x:row>
    <x:row r="8" ht="20" customHeight="1">
      <x:c r="A8" s="2"/>
      <x:c r="B8" s="2"/>
      <x:c r="C8" s="53" t="str">
        <x:v>Business question</x:v>
      </x:c>
      <x:c r="D8" s="22" t="str">
        <x:v>How should a distributor revise its full-year outlook after six months of mixed sales and margin performance?</x:v>
      </x:c>
      <x:c r="E8" s="22"/>
      <x:c r="F8" s="22"/>
      <x:c r="G8" s="22"/>
      <x:c r="H8" s="22"/>
      <x:c r="I8" s="22"/>
      <x:c r="J8" s="22"/>
      <x:c r="K8" s="22"/>
      <x:c r="L8" s="22"/>
    </x:row>
    <x:row r="9" ht="20" customHeight="1">
      <x:c r="A9" s="2"/>
      <x:c r="B9" s="2"/>
      <x:c r="C9" s="2"/>
      <x:c r="D9" s="22"/>
      <x:c r="E9" s="22"/>
      <x:c r="F9" s="22"/>
      <x:c r="G9" s="22"/>
      <x:c r="H9" s="22"/>
      <x:c r="I9" s="22"/>
      <x:c r="J9" s="22"/>
      <x:c r="K9" s="22"/>
      <x:c r="L9" s="22"/>
    </x:row>
    <x:row r="10" ht="20" customHeight="1">
      <x:c r="A10" s="2"/>
      <x:c r="B10" s="2"/>
      <x:c r="C10" s="2"/>
      <x:c r="D10" s="2"/>
      <x:c r="E10" s="2"/>
      <x:c r="F10" s="2"/>
      <x:c r="G10" s="2"/>
      <x:c r="H10" s="2"/>
      <x:c r="I10" s="2"/>
      <x:c r="J10" s="2"/>
      <x:c r="K10" s="2"/>
      <x:c r="L10" s="2"/>
    </x:row>
    <x:row r="11" ht="20" customHeight="1">
      <x:c r="A11" s="2"/>
      <x:c r="B11" s="2"/>
      <x:c r="C11" s="53" t="str">
        <x:v>Scope</x:v>
      </x:c>
      <x:c r="D11" s="22" t="str">
        <x:v>Calendar 2026. Jan-Jun simulated actuals. Jul-Dec forecast. CAD, accrual revenue and expenses, positive cost presentation.</x:v>
      </x:c>
      <x:c r="E11" s="22"/>
      <x:c r="F11" s="22"/>
      <x:c r="G11" s="22"/>
      <x:c r="H11" s="22"/>
      <x:c r="I11" s="22"/>
      <x:c r="J11" s="22"/>
      <x:c r="K11" s="22"/>
      <x:c r="L11" s="22"/>
    </x:row>
    <x:row r="12" ht="20" customHeight="1">
      <x:c r="A12" s="2"/>
      <x:c r="B12" s="2"/>
      <x:c r="C12" s="2"/>
      <x:c r="D12" s="22"/>
      <x:c r="E12" s="22"/>
      <x:c r="F12" s="22"/>
      <x:c r="G12" s="22"/>
      <x:c r="H12" s="22"/>
      <x:c r="I12" s="22"/>
      <x:c r="J12" s="22"/>
      <x:c r="K12" s="22"/>
      <x:c r="L12" s="22"/>
    </x:row>
    <x:row r="13" ht="20" customHeight="1">
      <x:c r="A13" s="2"/>
      <x:c r="B13" s="2"/>
      <x:c r="C13" s="2"/>
      <x:c r="D13" s="2"/>
      <x:c r="E13" s="2"/>
      <x:c r="F13" s="2"/>
      <x:c r="G13" s="2"/>
      <x:c r="H13" s="2"/>
      <x:c r="I13" s="2"/>
      <x:c r="J13" s="2"/>
      <x:c r="K13" s="2"/>
      <x:c r="L13" s="2"/>
    </x:row>
    <x:row r="14" ht="20" customHeight="1">
      <x:c r="A14" s="2"/>
      <x:c r="B14" s="2"/>
      <x:c r="C14" s="53" t="str">
        <x:v>Data</x:v>
      </x:c>
      <x:c r="D14" s="22" t="str">
        <x:v>36 monthly product/channel records and six operating-expense records. Essentials, Standard and Premium products sell through Wholesale and Online.</x:v>
      </x:c>
      <x:c r="E14" s="22"/>
      <x:c r="F14" s="22"/>
      <x:c r="G14" s="22"/>
      <x:c r="H14" s="22"/>
      <x:c r="I14" s="22"/>
      <x:c r="J14" s="22"/>
      <x:c r="K14" s="22"/>
      <x:c r="L14" s="22"/>
    </x:row>
    <x:row r="15" ht="20" customHeight="1">
      <x:c r="A15" s="2"/>
      <x:c r="B15" s="2"/>
      <x:c r="C15" s="2"/>
      <x:c r="D15" s="22"/>
      <x:c r="E15" s="22"/>
      <x:c r="F15" s="22"/>
      <x:c r="G15" s="22"/>
      <x:c r="H15" s="22"/>
      <x:c r="I15" s="22"/>
      <x:c r="J15" s="22"/>
      <x:c r="K15" s="22"/>
      <x:c r="L15" s="22"/>
    </x:row>
    <x:row r="16" ht="20" customHeight="1">
      <x:c r="A16" s="2"/>
      <x:c r="B16" s="2"/>
      <x:c r="C16" s="2"/>
      <x:c r="D16" s="2"/>
      <x:c r="E16" s="2"/>
      <x:c r="F16" s="2"/>
      <x:c r="G16" s="2"/>
      <x:c r="H16" s="2"/>
      <x:c r="I16" s="2"/>
      <x:c r="J16" s="2"/>
      <x:c r="K16" s="2"/>
      <x:c r="L16" s="2"/>
    </x:row>
    <x:row r="17" ht="20" customHeight="1">
      <x:c r="A17" s="2"/>
      <x:c r="B17" s="2"/>
      <x:c r="C17" s="53" t="str">
        <x:v>What is simulated</x:v>
      </x:c>
      <x:c r="D17" s="22" t="str">
        <x:v>All transactions, unit prices, supplier costs, staffing costs and targets were generated for this case. Northline Trading is fictional.</x:v>
      </x:c>
      <x:c r="E17" s="22"/>
      <x:c r="F17" s="22"/>
      <x:c r="G17" s="22"/>
      <x:c r="H17" s="22"/>
      <x:c r="I17" s="22"/>
      <x:c r="J17" s="22"/>
      <x:c r="K17" s="22"/>
      <x:c r="L17" s="22"/>
    </x:row>
    <x:row r="18" ht="20" customHeight="1">
      <x:c r="A18" s="2"/>
      <x:c r="B18" s="2"/>
      <x:c r="C18" s="2"/>
      <x:c r="D18" s="22"/>
      <x:c r="E18" s="22"/>
      <x:c r="F18" s="22"/>
      <x:c r="G18" s="22"/>
      <x:c r="H18" s="22"/>
      <x:c r="I18" s="22"/>
      <x:c r="J18" s="22"/>
      <x:c r="K18" s="22"/>
      <x:c r="L18" s="22"/>
    </x:row>
    <x:row r="19" ht="20" customHeight="1">
      <x:c r="A19" s="2"/>
      <x:c r="B19" s="2"/>
      <x:c r="C19" s="2"/>
      <x:c r="D19" s="2"/>
      <x:c r="E19" s="2"/>
      <x:c r="F19" s="2"/>
      <x:c r="G19" s="2"/>
      <x:c r="H19" s="2"/>
      <x:c r="I19" s="2"/>
      <x:c r="J19" s="2"/>
      <x:c r="K19" s="2"/>
      <x:c r="L19" s="2"/>
    </x:row>
    <x:row r="20" ht="20" customHeight="1">
      <x:c r="A20" s="2"/>
      <x:c r="B20" s="2"/>
      <x:c r="C20" s="53" t="str">
        <x:v>How the model works</x:v>
      </x:c>
      <x:c r="D20" s="22" t="str">
        <x:v>Budget units x net price = revenue. Units x unit cost = COGS. Revenue - COGS = gross profit. Gross profit - operating expenses = EBITDA.</x:v>
      </x:c>
      <x:c r="E20" s="22"/>
      <x:c r="F20" s="22"/>
      <x:c r="G20" s="22"/>
      <x:c r="H20" s="22"/>
      <x:c r="I20" s="22"/>
      <x:c r="J20" s="22"/>
      <x:c r="K20" s="22"/>
      <x:c r="L20" s="22"/>
    </x:row>
    <x:row r="21" ht="20" customHeight="1">
      <x:c r="A21" s="2"/>
      <x:c r="B21" s="2"/>
      <x:c r="C21" s="2"/>
      <x:c r="D21" s="22"/>
      <x:c r="E21" s="22"/>
      <x:c r="F21" s="22"/>
      <x:c r="G21" s="22"/>
      <x:c r="H21" s="22"/>
      <x:c r="I21" s="22"/>
      <x:c r="J21" s="22"/>
      <x:c r="K21" s="22"/>
      <x:c r="L21" s="22"/>
    </x:row>
    <x:row r="22" ht="20" customHeight="1">
      <x:c r="A22" s="2"/>
      <x:c r="B22" s="2"/>
      <x:c r="C22" s="2"/>
      <x:c r="D22" s="2"/>
      <x:c r="E22" s="2"/>
      <x:c r="F22" s="2"/>
      <x:c r="G22" s="2"/>
      <x:c r="H22" s="2"/>
      <x:c r="I22" s="2"/>
      <x:c r="J22" s="2"/>
      <x:c r="K22" s="2"/>
      <x:c r="L22" s="2"/>
    </x:row>
    <x:row r="23" ht="20" customHeight="1">
      <x:c r="A23" s="2"/>
      <x:c r="B23" s="2"/>
      <x:c r="C23" s="53" t="str">
        <x:v>Operating expenses</x:v>
      </x:c>
      <x:c r="D23" s="22" t="str">
        <x:v>Payroll = paid FTE x annual pay / 12 x (1 + employer load). Fulfilment = channel units x delivery rate. Marketing = online revenue x spend rate. Historical annualized pay includes overtime.</x:v>
      </x:c>
      <x:c r="E23" s="22"/>
      <x:c r="F23" s="22"/>
      <x:c r="G23" s="22"/>
      <x:c r="H23" s="22"/>
      <x:c r="I23" s="22"/>
      <x:c r="J23" s="22"/>
      <x:c r="K23" s="22"/>
      <x:c r="L23" s="22"/>
    </x:row>
    <x:row r="24" ht="20" customHeight="1">
      <x:c r="A24" s="2"/>
      <x:c r="B24" s="2"/>
      <x:c r="C24" s="2"/>
      <x:c r="D24" s="22"/>
      <x:c r="E24" s="22"/>
      <x:c r="F24" s="22"/>
      <x:c r="G24" s="22"/>
      <x:c r="H24" s="22"/>
      <x:c r="I24" s="22"/>
      <x:c r="J24" s="22"/>
      <x:c r="K24" s="22"/>
      <x:c r="L24" s="22"/>
    </x:row>
    <x:row r="25" ht="20" customHeight="1">
      <x:c r="A25" s="2"/>
      <x:c r="B25" s="2"/>
      <x:c r="C25" s="2"/>
      <x:c r="D25" s="2"/>
      <x:c r="E25" s="2"/>
      <x:c r="F25" s="2"/>
      <x:c r="G25" s="2"/>
      <x:c r="H25" s="2"/>
      <x:c r="I25" s="2"/>
      <x:c r="J25" s="2"/>
      <x:c r="K25" s="2"/>
      <x:c r="L25" s="2"/>
    </x:row>
    <x:row r="26" ht="20" customHeight="1">
      <x:c r="A26" s="2"/>
      <x:c r="B26" s="2"/>
      <x:c r="C26" s="53" t="str">
        <x:v>Forecast controls</x:v>
      </x:c>
      <x:c r="D26" s="22" t="str">
        <x:v>Change Assumptions!D5 to 1 Base, 2 Upside or 3 Downside. Edit yellow case inputs in Jul-Dec. Active rows feed the same forecast; historical actuals do not change.</x:v>
      </x:c>
      <x:c r="E26" s="22"/>
      <x:c r="F26" s="22"/>
      <x:c r="G26" s="22"/>
      <x:c r="H26" s="22"/>
      <x:c r="I26" s="22"/>
      <x:c r="J26" s="22"/>
      <x:c r="K26" s="22"/>
      <x:c r="L26" s="22"/>
    </x:row>
    <x:row r="27" ht="20" customHeight="1">
      <x:c r="A27" s="2"/>
      <x:c r="B27" s="2"/>
      <x:c r="C27" s="2"/>
      <x:c r="D27" s="22"/>
      <x:c r="E27" s="22"/>
      <x:c r="F27" s="22"/>
      <x:c r="G27" s="22"/>
      <x:c r="H27" s="22"/>
      <x:c r="I27" s="22"/>
      <x:c r="J27" s="22"/>
      <x:c r="K27" s="22"/>
      <x:c r="L27" s="22"/>
    </x:row>
    <x:row r="28" ht="20" customHeight="1">
      <x:c r="A28" s="2"/>
      <x:c r="B28" s="2"/>
      <x:c r="C28" s="2"/>
      <x:c r="D28" s="2"/>
      <x:c r="E28" s="2"/>
      <x:c r="F28" s="2"/>
      <x:c r="G28" s="2"/>
      <x:c r="H28" s="2"/>
      <x:c r="I28" s="2"/>
      <x:c r="J28" s="2"/>
      <x:c r="K28" s="2"/>
      <x:c r="L28" s="2"/>
    </x:row>
    <x:row r="29" ht="20" customHeight="1">
      <x:c r="A29" s="2"/>
      <x:c r="B29" s="2"/>
      <x:c r="C29" s="53" t="str">
        <x:v>Budget protection</x:v>
      </x:c>
      <x:c r="D29" s="22" t="str">
        <x:v>Original budget drivers are blue but should remain fixed for performance reporting. Save a separate planning version before deliberately changing the baseline.</x:v>
      </x:c>
      <x:c r="E29" s="22"/>
      <x:c r="F29" s="22"/>
      <x:c r="G29" s="22"/>
      <x:c r="H29" s="22"/>
      <x:c r="I29" s="22"/>
      <x:c r="J29" s="22"/>
      <x:c r="K29" s="22"/>
      <x:c r="L29" s="22"/>
    </x:row>
    <x:row r="30" ht="20" customHeight="1">
      <x:c r="A30" s="2"/>
      <x:c r="B30" s="2"/>
      <x:c r="C30" s="2"/>
      <x:c r="D30" s="22"/>
      <x:c r="E30" s="22"/>
      <x:c r="F30" s="22"/>
      <x:c r="G30" s="22"/>
      <x:c r="H30" s="22"/>
      <x:c r="I30" s="22"/>
      <x:c r="J30" s="22"/>
      <x:c r="K30" s="22"/>
      <x:c r="L30" s="22"/>
    </x:row>
    <x:row r="31" ht="20" customHeight="1">
      <x:c r="A31" s="2"/>
      <x:c r="B31" s="2"/>
      <x:c r="C31" s="2"/>
      <x:c r="D31" s="2"/>
      <x:c r="E31" s="2"/>
      <x:c r="F31" s="2"/>
      <x:c r="G31" s="2"/>
      <x:c r="H31" s="2"/>
      <x:c r="I31" s="2"/>
      <x:c r="J31" s="2"/>
      <x:c r="K31" s="2"/>
      <x:c r="L31" s="2"/>
    </x:row>
    <x:row r="32" ht="20" customHeight="1">
      <x:c r="A32" s="2"/>
      <x:c r="B32" s="2"/>
      <x:c r="C32" s="53" t="str">
        <x:v>Variance method</x:v>
      </x:c>
      <x:c r="D32" s="22" t="str">
        <x:v>Actual - budget for each matching month. A positive revenue/profit variance is favorable. A positive cost variance is unfavorable. Margin differences are percentage points.</x:v>
      </x:c>
      <x:c r="E32" s="22"/>
      <x:c r="F32" s="22"/>
      <x:c r="G32" s="22"/>
      <x:c r="H32" s="22"/>
      <x:c r="I32" s="22"/>
      <x:c r="J32" s="22"/>
      <x:c r="K32" s="22"/>
      <x:c r="L32" s="22"/>
    </x:row>
    <x:row r="33" ht="20" customHeight="1">
      <x:c r="A33" s="2"/>
      <x:c r="B33" s="2"/>
      <x:c r="C33" s="2"/>
      <x:c r="D33" s="22"/>
      <x:c r="E33" s="22"/>
      <x:c r="F33" s="22"/>
      <x:c r="G33" s="22"/>
      <x:c r="H33" s="22"/>
      <x:c r="I33" s="22"/>
      <x:c r="J33" s="22"/>
      <x:c r="K33" s="22"/>
      <x:c r="L33" s="22"/>
    </x:row>
    <x:row r="34" ht="20" customHeight="1">
      <x:c r="A34" s="2"/>
      <x:c r="B34" s="2"/>
      <x:c r="C34" s="2"/>
      <x:c r="D34" s="2"/>
      <x:c r="E34" s="2"/>
      <x:c r="F34" s="2"/>
      <x:c r="G34" s="2"/>
      <x:c r="H34" s="2"/>
      <x:c r="I34" s="2"/>
      <x:c r="J34" s="2"/>
      <x:c r="K34" s="2"/>
      <x:c r="L34" s="2"/>
    </x:row>
    <x:row r="35" ht="20" customHeight="1">
      <x:c r="A35" s="2"/>
      <x:c r="B35" s="2"/>
      <x:c r="C35" s="53" t="str">
        <x:v>Profit explanation</x:v>
      </x:c>
      <x:c r="D35" s="22" t="str">
        <x:v>By channel: volume effect = (actual units - budget units) x budget unit margin. Price effect = actual units x price change. Cost effect = -actual units x unit-cost change.</x:v>
      </x:c>
      <x:c r="E35" s="22"/>
      <x:c r="F35" s="22"/>
      <x:c r="G35" s="22"/>
      <x:c r="H35" s="22"/>
      <x:c r="I35" s="22"/>
      <x:c r="J35" s="22"/>
      <x:c r="K35" s="22"/>
      <x:c r="L35" s="22"/>
    </x:row>
    <x:row r="36" ht="20" customHeight="1">
      <x:c r="A36" s="2"/>
      <x:c r="B36" s="2"/>
      <x:c r="C36" s="2"/>
      <x:c r="D36" s="22"/>
      <x:c r="E36" s="22"/>
      <x:c r="F36" s="22"/>
      <x:c r="G36" s="22"/>
      <x:c r="H36" s="22"/>
      <x:c r="I36" s="22"/>
      <x:c r="J36" s="22"/>
      <x:c r="K36" s="22"/>
      <x:c r="L36" s="22"/>
    </x:row>
    <x:row r="37" ht="20" customHeight="1">
      <x:c r="A37" s="2"/>
      <x:c r="B37" s="2"/>
      <x:c r="C37" s="2"/>
      <x:c r="D37" s="2"/>
      <x:c r="E37" s="2"/>
      <x:c r="F37" s="2"/>
      <x:c r="G37" s="2"/>
      <x:c r="H37" s="2"/>
      <x:c r="I37" s="2"/>
      <x:c r="J37" s="2"/>
      <x:c r="K37" s="2"/>
      <x:c r="L37" s="2"/>
    </x:row>
    <x:row r="38" ht="20" customHeight="1">
      <x:c r="A38" s="2"/>
      <x:c r="B38" s="2"/>
      <x:c r="C38" s="53" t="str">
        <x:v>Mix and precision</x:v>
      </x:c>
      <x:c r="D38" s="22" t="str">
        <x:v>Price and unit-cost effects include changes in the mix of products within each channel. The bridge uses unrounded weighted prices so it reconciles exactly.</x:v>
      </x:c>
      <x:c r="E38" s="22"/>
      <x:c r="F38" s="22"/>
      <x:c r="G38" s="22"/>
      <x:c r="H38" s="22"/>
      <x:c r="I38" s="22"/>
      <x:c r="J38" s="22"/>
      <x:c r="K38" s="22"/>
      <x:c r="L38" s="22"/>
    </x:row>
    <x:row r="39" ht="20" customHeight="1">
      <x:c r="A39" s="2"/>
      <x:c r="B39" s="2"/>
      <x:c r="C39" s="2"/>
      <x:c r="D39" s="22"/>
      <x:c r="E39" s="22"/>
      <x:c r="F39" s="22"/>
      <x:c r="G39" s="22"/>
      <x:c r="H39" s="22"/>
      <x:c r="I39" s="22"/>
      <x:c r="J39" s="22"/>
      <x:c r="K39" s="22"/>
      <x:c r="L39" s="22"/>
    </x:row>
    <x:row r="40" ht="20" customHeight="1">
      <x:c r="A40" s="2"/>
      <x:c r="B40" s="2"/>
      <x:c r="C40" s="2"/>
      <x:c r="D40" s="2"/>
      <x:c r="E40" s="2"/>
      <x:c r="F40" s="2"/>
      <x:c r="G40" s="2"/>
      <x:c r="H40" s="2"/>
      <x:c r="I40" s="2"/>
      <x:c r="J40" s="2"/>
      <x:c r="K40" s="2"/>
      <x:c r="L40" s="2"/>
    </x:row>
    <x:row r="41" ht="20" customHeight="1">
      <x:c r="A41" s="2"/>
      <x:c r="B41" s="2"/>
      <x:c r="C41" s="53" t="str">
        <x:v>Case assumptions</x:v>
      </x:c>
      <x:c r="D41" s="22" t="str">
        <x:v>Forecast volume, price and unit-cost factors multiply each month's budget. 100% means unchanged. Marketing is an absolute share of online revenue.</x:v>
      </x:c>
      <x:c r="E41" s="22"/>
      <x:c r="F41" s="22"/>
      <x:c r="G41" s="22"/>
      <x:c r="H41" s="22"/>
      <x:c r="I41" s="22"/>
      <x:c r="J41" s="22"/>
      <x:c r="K41" s="22"/>
      <x:c r="L41" s="22"/>
    </x:row>
    <x:row r="42" ht="20" customHeight="1">
      <x:c r="A42" s="2"/>
      <x:c r="B42" s="2"/>
      <x:c r="C42" s="2"/>
      <x:c r="D42" s="22"/>
      <x:c r="E42" s="22"/>
      <x:c r="F42" s="22"/>
      <x:c r="G42" s="22"/>
      <x:c r="H42" s="22"/>
      <x:c r="I42" s="22"/>
      <x:c r="J42" s="22"/>
      <x:c r="K42" s="22"/>
      <x:c r="L42" s="22"/>
    </x:row>
    <x:row r="43" ht="20" customHeight="1">
      <x:c r="A43" s="2"/>
      <x:c r="B43" s="2"/>
      <x:c r="C43" s="2"/>
      <x:c r="D43" s="2"/>
      <x:c r="E43" s="2"/>
      <x:c r="F43" s="2"/>
      <x:c r="G43" s="2"/>
      <x:c r="H43" s="2"/>
      <x:c r="I43" s="2"/>
      <x:c r="J43" s="2"/>
      <x:c r="K43" s="2"/>
      <x:c r="L43" s="2"/>
    </x:row>
    <x:row r="44" ht="20" customHeight="1">
      <x:c r="A44" s="2"/>
      <x:c r="B44" s="2"/>
      <x:c r="C44" s="53" t="str">
        <x:v>Limits</x:v>
      </x:c>
      <x:c r="D44" s="22" t="str">
        <x:v>This is an EBITDA operating model, not a cash-flow, balance-sheet or valuation model. It excludes tax, interest, depreciation, capex, inventory and receivables schedules.</x:v>
      </x:c>
      <x:c r="E44" s="22"/>
      <x:c r="F44" s="22"/>
      <x:c r="G44" s="22"/>
      <x:c r="H44" s="22"/>
      <x:c r="I44" s="22"/>
      <x:c r="J44" s="22"/>
      <x:c r="K44" s="22"/>
      <x:c r="L44" s="22"/>
    </x:row>
    <x:row r="45" ht="20" customHeight="1">
      <x:c r="A45" s="2"/>
      <x:c r="B45" s="2"/>
      <x:c r="C45" s="2"/>
      <x:c r="D45" s="22"/>
      <x:c r="E45" s="22"/>
      <x:c r="F45" s="22"/>
      <x:c r="G45" s="22"/>
      <x:c r="H45" s="22"/>
      <x:c r="I45" s="22"/>
      <x:c r="J45" s="22"/>
      <x:c r="K45" s="22"/>
      <x:c r="L45" s="22"/>
    </x:row>
    <x:row r="46" ht="20" customHeight="1">
      <x:c r="A46" s="2"/>
      <x:c r="B46" s="2"/>
      <x:c r="C46" s="2"/>
      <x:c r="D46" s="2"/>
      <x:c r="E46" s="2"/>
      <x:c r="F46" s="2"/>
      <x:c r="G46" s="2"/>
      <x:c r="H46" s="2"/>
      <x:c r="I46" s="2"/>
      <x:c r="J46" s="2"/>
      <x:c r="K46" s="2"/>
      <x:c r="L46" s="2"/>
    </x:row>
    <x:row r="47" ht="20" customHeight="1">
      <x:c r="A47" s="2"/>
      <x:c r="B47" s="2"/>
      <x:c r="C47" s="53" t="str">
        <x:v>Refresh</x:v>
      </x:c>
      <x:c r="D47" s="22" t="str">
        <x:v>Actuals use fixed Jan-Jun ranges and 36 product/channel records. To add a new actual month, extend the source ranges and update the forecast boundary consistently. It is not an automated refresh.</x:v>
      </x:c>
      <x:c r="E47" s="22"/>
      <x:c r="F47" s="22"/>
      <x:c r="G47" s="22"/>
      <x:c r="H47" s="22"/>
      <x:c r="I47" s="22"/>
      <x:c r="J47" s="22"/>
      <x:c r="K47" s="22"/>
      <x:c r="L47" s="22"/>
    </x:row>
    <x:row r="48" ht="20" customHeight="1">
      <x:c r="A48" s="2"/>
      <x:c r="B48" s="2"/>
      <x:c r="C48" s="2"/>
      <x:c r="D48" s="22"/>
      <x:c r="E48" s="22"/>
      <x:c r="F48" s="22"/>
      <x:c r="G48" s="22"/>
      <x:c r="H48" s="22"/>
      <x:c r="I48" s="22"/>
      <x:c r="J48" s="22"/>
      <x:c r="K48" s="22"/>
      <x:c r="L48" s="22"/>
    </x:row>
    <x:row r="49" ht="20" customHeight="1">
      <x:c r="A49" s="2"/>
      <x:c r="B49" s="2"/>
      <x:c r="C49" s="2"/>
      <x:c r="D49" s="2"/>
      <x:c r="E49" s="2"/>
      <x:c r="F49" s="2"/>
      <x:c r="G49" s="2"/>
      <x:c r="H49" s="2"/>
      <x:c r="I49" s="2"/>
      <x:c r="J49" s="2"/>
      <x:c r="K49" s="2"/>
      <x:c r="L49" s="2"/>
    </x:row>
    <x:row r="50" ht="20" customHeight="1">
      <x:c r="A50" s="2"/>
      <x:c r="B50" s="2"/>
      <x:c r="C50" s="53" t="str">
        <x:v>Source completeness</x:v>
      </x:c>
      <x:c r="D50" s="22" t="str">
        <x:v>The model requires three unique product records per channel/month and one complete expense record per month. Missing, duplicate or inconsistent source records make affected results unavailable.</x:v>
      </x:c>
      <x:c r="E50" s="22"/>
      <x:c r="F50" s="22"/>
      <x:c r="G50" s="22"/>
      <x:c r="H50" s="22"/>
      <x:c r="I50" s="22"/>
      <x:c r="J50" s="22"/>
      <x:c r="K50" s="22"/>
      <x:c r="L50" s="22"/>
    </x:row>
    <x:row r="51" ht="20" customHeight="1">
      <x:c r="A51" s="2"/>
      <x:c r="B51" s="2"/>
      <x:c r="C51" s="2"/>
      <x:c r="D51" s="22"/>
      <x:c r="E51" s="22"/>
      <x:c r="F51" s="22"/>
      <x:c r="G51" s="22"/>
      <x:c r="H51" s="22"/>
      <x:c r="I51" s="22"/>
      <x:c r="J51" s="22"/>
      <x:c r="K51" s="22"/>
      <x:c r="L51" s="22"/>
    </x:row>
    <x:row r="52" ht="20" customHeight="1">
      <x:c r="A52" s="2"/>
      <x:c r="B52" s="2"/>
      <x:c r="C52" s="2"/>
      <x:c r="D52" s="2"/>
      <x:c r="E52" s="2"/>
      <x:c r="F52" s="2"/>
      <x:c r="G52" s="2"/>
      <x:c r="H52" s="2"/>
      <x:c r="I52" s="2"/>
      <x:c r="J52" s="2"/>
      <x:c r="K52" s="2"/>
      <x:c r="L52" s="2"/>
    </x:row>
    <x:row r="53" ht="20" customHeight="1">
      <x:c r="A53" s="2"/>
      <x:c r="B53" s="2"/>
      <x:c r="C53" s="53" t="str">
        <x:v>Input conventions</x:v>
      </x:c>
      <x:c r="D53" s="22" t="str">
        <x:v>Blue numbers are inputs. Yellow cells are forecast controls. Green formulas link across sheets. Costs are positive. Zero is allowed, while a blank or negative selected driver returns #N/A.</x:v>
      </x:c>
      <x:c r="E53" s="22"/>
      <x:c r="F53" s="22"/>
      <x:c r="G53" s="22"/>
      <x:c r="H53" s="22"/>
      <x:c r="I53" s="22"/>
      <x:c r="J53" s="22"/>
      <x:c r="K53" s="22"/>
      <x:c r="L53" s="22"/>
    </x:row>
    <x:row r="54" ht="20" customHeight="1">
      <x:c r="A54" s="2"/>
      <x:c r="B54" s="2"/>
      <x:c r="C54" s="2"/>
      <x:c r="D54" s="22"/>
      <x:c r="E54" s="22"/>
      <x:c r="F54" s="22"/>
      <x:c r="G54" s="22"/>
      <x:c r="H54" s="22"/>
      <x:c r="I54" s="22"/>
      <x:c r="J54" s="22"/>
      <x:c r="K54" s="22"/>
      <x:c r="L54" s="22"/>
    </x:row>
    <x:row r="55" ht="20" customHeight="1">
      <x:c r="A55" s="2"/>
      <x:c r="B55" s="2"/>
      <x:c r="C55" s="2"/>
      <x:c r="D55" s="2"/>
      <x:c r="E55" s="2"/>
      <x:c r="F55" s="2"/>
      <x:c r="G55" s="2"/>
      <x:c r="H55" s="2"/>
      <x:c r="I55" s="2"/>
      <x:c r="J55" s="2"/>
      <x:c r="K55" s="2"/>
      <x:c r="L55" s="2"/>
    </x:row>
    <x:row r="56" ht="20" customHeight="1">
      <x:c r="A56" s="2"/>
      <x:c r="B56" s="2"/>
      <x:c r="C56" s="53" t="str">
        <x:v>Cost normalization</x:v>
      </x:c>
      <x:c r="D56" s="22" t="str">
        <x:v>Jul-Dec payroll and fulfilment unit rates return to budget in every case. The scenarios do not continue H1 overtime or higher delivery rates. Forecast margin recovery depends partly on this assumption.</x:v>
      </x:c>
      <x:c r="E56" s="22"/>
      <x:c r="F56" s="22"/>
      <x:c r="G56" s="22"/>
      <x:c r="H56" s="22"/>
      <x:c r="I56" s="22"/>
      <x:c r="J56" s="22"/>
      <x:c r="K56" s="22"/>
      <x:c r="L56" s="22"/>
    </x:row>
    <x:row r="57" ht="20" customHeight="1">
      <x:c r="A57" s="2"/>
      <x:c r="B57" s="2"/>
      <x:c r="C57" s="2"/>
      <x:c r="D57" s="22"/>
      <x:c r="E57" s="22"/>
      <x:c r="F57" s="22"/>
      <x:c r="G57" s="22"/>
      <x:c r="H57" s="22"/>
      <x:c r="I57" s="22"/>
      <x:c r="J57" s="22"/>
      <x:c r="K57" s="22"/>
      <x:c r="L57" s="22"/>
    </x:row>
    <x:row r="58" ht="20" customHeight="1">
      <x:c r="A58" s="2"/>
      <x:c r="B58" s="2"/>
      <x:c r="C58" s="2"/>
      <x:c r="D58" s="2"/>
      <x:c r="E58" s="2"/>
      <x:c r="F58" s="2"/>
      <x:c r="G58" s="2"/>
      <x:c r="H58" s="2"/>
      <x:c r="I58" s="2"/>
      <x:c r="J58" s="2"/>
      <x:c r="K58" s="2"/>
      <x:c r="L58" s="2"/>
    </x:row>
    <x:row r="59" ht="20" customHeight="1">
      <x:c r="A59" s="2"/>
      <x:c r="B59" s="2"/>
      <x:c r="C59" s="53" t="str">
        <x:v>Sharing and versions</x:v>
      </x:c>
      <x:c r="D59" s="22" t="str">
        <x:v>The PDF brief summarizes the supplied assumptions. It does not update when the workbook changes. Save a dated copy for revisions and refresh the brief before sharing updated results.</x:v>
      </x:c>
      <x:c r="E59" s="22"/>
      <x:c r="F59" s="22"/>
      <x:c r="G59" s="22"/>
      <x:c r="H59" s="22"/>
      <x:c r="I59" s="22"/>
      <x:c r="J59" s="22"/>
      <x:c r="K59" s="22"/>
      <x:c r="L59" s="22"/>
    </x:row>
    <x:row r="60" ht="20" customHeight="1">
      <x:c r="A60" s="2"/>
      <x:c r="B60" s="2"/>
      <x:c r="C60" s="2"/>
      <x:c r="D60" s="22"/>
      <x:c r="E60" s="22"/>
      <x:c r="F60" s="22"/>
      <x:c r="G60" s="22"/>
      <x:c r="H60" s="22"/>
      <x:c r="I60" s="22"/>
      <x:c r="J60" s="22"/>
      <x:c r="K60" s="22"/>
      <x:c r="L60" s="22"/>
    </x:row>
    <x:row r="61" ht="20" customHeight="1">
      <x:c r="A61" s="2"/>
      <x:c r="B61" s="2"/>
      <x:c r="C61" s="2"/>
      <x:c r="D61" s="2"/>
      <x:c r="E61" s="2"/>
      <x:c r="F61" s="2"/>
      <x:c r="G61" s="2"/>
      <x:c r="H61" s="2"/>
      <x:c r="I61" s="2"/>
      <x:c r="J61" s="2"/>
      <x:c r="K61" s="2"/>
      <x:c r="L61" s="2"/>
    </x:row>
  </x:sheetData>
  <x:sheetProtection password="BE0E" sheet="1" objects="1" scenarios="1" formatCells="1" formatColumns="1" formatRows="1" insertColumns="1" insertRows="1" insertHyperlinks="1" deleteColumns="1" deleteRows="1" selectLockedCells="0" sort="1" autoFilter="1" pivotTables="1" selectUnlockedCells="0"/>
  <x:mergeCells>
    <x:mergeCell ref="D8:L9"/>
    <x:mergeCell ref="D11:L12"/>
    <x:mergeCell ref="D14:L15"/>
    <x:mergeCell ref="D17:L18"/>
    <x:mergeCell ref="D20:L21"/>
    <x:mergeCell ref="D23:L24"/>
    <x:mergeCell ref="D26:L27"/>
    <x:mergeCell ref="D29:L30"/>
    <x:mergeCell ref="D32:L33"/>
    <x:mergeCell ref="D35:L36"/>
    <x:mergeCell ref="D38:L39"/>
    <x:mergeCell ref="D41:L42"/>
    <x:mergeCell ref="D44:L45"/>
    <x:mergeCell ref="D47:L48"/>
    <x:mergeCell ref="D50:L51"/>
    <x:mergeCell ref="D53:L54"/>
    <x:mergeCell ref="D56:L57"/>
    <x:mergeCell ref="D59:L60"/>
  </x:mergeCells>
  <x:pageMargins left="0.7" right="0.7" top="0.75" bottom="0.75" header="0.3" footer="0.3"/>
</x:worksheet>
</file>