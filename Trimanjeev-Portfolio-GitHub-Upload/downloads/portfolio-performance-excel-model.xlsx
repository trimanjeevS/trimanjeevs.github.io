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49894722244e2" /></Relationships>
</file>

<file path=xl/workbook.xml><?xml version="1.0" encoding="utf-8"?>
<x:workbook xmlns:x="http://schemas.openxmlformats.org/spreadsheetml/2006/main">
  <x:workbookProtection workbookPassword="BE0E" lockStructure="1"/>
  <x:sheets>
    <x:sheet xmlns:r="http://schemas.openxmlformats.org/officeDocument/2006/relationships" name="Summary" sheetId="1" r:id="R02f2f5f028754546"/>
    <x:sheet xmlns:r="http://schemas.openxmlformats.org/officeDocument/2006/relationships" name="Allocation" sheetId="2" r:id="R5e4e3c39506845d0"/>
    <x:sheet xmlns:r="http://schemas.openxmlformats.org/officeDocument/2006/relationships" name="Risk" sheetId="3" r:id="Rc286cde2f2e14bb5"/>
    <x:sheet xmlns:r="http://schemas.openxmlformats.org/officeDocument/2006/relationships" name="Monthly" sheetId="4" r:id="R9565eebd6c09476b"/>
    <x:sheet xmlns:r="http://schemas.openxmlformats.org/officeDocument/2006/relationships" name="Holdings" sheetId="5" r:id="Rf02ce2be51ea4faa"/>
    <x:sheet xmlns:r="http://schemas.openxmlformats.org/officeDocument/2006/relationships" name="Data" sheetId="6" r:id="R6bdc0a886ba0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d-mmm-yyyy"/>
    <x:numFmt numFmtId="201" formatCode="mmm-yy"/>
    <x:numFmt numFmtId="202" formatCode="0.000000%;(0.000000%);&quot;-&quot;"/>
    <x:numFmt numFmtId="203" formatCode="0.0%;(0.0%);&quot;-&quot;"/>
    <x:numFmt numFmtId="204" formatCode="&quot;$&quot;#,##0;(&quot;$&quot;#,##0);&quot;-&quot;"/>
    <x:numFmt numFmtId="205" formatCode="0.00; (0.00);&quot;-&quot;"/>
    <x:numFmt numFmtId="206" formatCode="0.000"/>
    <x:numFmt numFmtId="207" formatCode="0.00"/>
    <x:numFmt numFmtId="208" formatCode="#,##0;(#,##0);&quot;-&quot;"/>
    <x:numFmt numFmtId="209" formatCode="0&quot; / 60&quot;"/>
    <x:numFmt numFmtId="210" formatCode="0.00;(0.00);0.00"/>
    <x:numFmt numFmtId="211" formatCode="0.0000"/>
  </x:numFmts>
  <x:fonts count="14">
    <x:font>
      <x:sz val="11"/>
      <x:name val="Carlito"/>
    </x:font>
    <x:font>
      <x:sz val="10"/>
      <x:color rgb="FF202934"/>
      <x:name val="Arial"/>
    </x:font>
    <x:font>
      <x:b/>
      <x:sz val="16"/>
      <x:color rgb="FF233D5B"/>
      <x:name val="Arial"/>
    </x:font>
    <x:font>
      <x:sz val="10"/>
      <x:color rgb="FF687585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233D5B"/>
      <x:name val="Arial"/>
    </x:font>
    <x:font>
      <x:sz val="10"/>
      <x:color rgb="FF000000"/>
      <x:name val="Arial"/>
    </x:font>
    <x:font>
      <x:b/>
      <x:sz val="10"/>
      <x:color rgb="FF202934"/>
      <x:name val="Arial"/>
    </x:font>
    <x:font>
      <x:b/>
      <x:sz val="10"/>
      <x:color rgb="FF000000"/>
      <x:name val="Arial"/>
    </x:font>
    <x:font>
      <x:sz val="10"/>
      <x:color rgb="FF008000"/>
      <x:name val="Arial"/>
    </x:font>
    <x:font>
      <x:b/>
      <x:sz val="10"/>
      <x:color rgb="FF008000"/>
      <x:name val="Arial"/>
    </x:font>
    <x:font>
      <x:sz val="11"/>
      <x:color rgb="FF000000"/>
      <x:name val="Carlito"/>
    </x:font>
    <x:font>
      <x:sz val="11"/>
      <x:color rgb="FF20293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33D5B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</x:fills>
  <x:borders count="3">
    <x:border/>
    <x:border>
      <x:bottom style="thin">
        <x:color rgb="FF233D5B"/>
      </x:bottom>
    </x:border>
    <x:border>
      <x:top style="thin">
        <x:color rgb="FFCBD4DE"/>
      </x:top>
    </x:border>
  </x:borders>
  <x:cellStyleXfs count="1">
    <x:xf numFmtId="0" fontId="0" fillId="0" borderId="0" applyProtection="1">
      <x:protection locked="1" hidden="0"/>
    </x:xf>
  </x:cellStyleXfs>
  <x:cellXfs count="77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3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1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 wrapText="1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 wrapText="1"/>
      <x:protection locked="1" hidden="0"/>
    </x:xf>
    <x:xf numFmtId="201" fontId="1" fillId="0" borderId="0" xfId="0" applyNumberFormat="1" applyFont="1" applyFill="1" applyBorder="1" applyAlignment="1" applyProtection="1">
      <x:alignment vertical="center"/>
      <x:protection locked="1" hidden="0"/>
    </x:xf>
    <x:xf numFmtId="202" fontId="1" fillId="0" borderId="0" xfId="0" applyNumberFormat="1" applyFont="1" applyFill="1" applyBorder="1" applyAlignment="1" applyProtection="1">
      <x:alignment vertical="center"/>
      <x:protection locked="1" hidden="0"/>
    </x:xf>
    <x:xf numFmtId="201" fontId="5" fillId="0" borderId="0" xfId="0" applyNumberFormat="1" applyFont="1" applyFill="1" applyBorder="1" applyAlignment="1" applyProtection="1">
      <x:alignment vertical="center"/>
      <x:protection locked="1" hidden="0"/>
    </x:xf>
    <x:xf numFmtId="202" fontId="5" fillId="0" borderId="0" xfId="0" applyNumberFormat="1" applyFont="1" applyFill="1" applyBorder="1" applyAlignment="1" applyProtection="1">
      <x:alignment vertical="center"/>
      <x:protection locked="1" hidden="0"/>
    </x:xf>
    <x:xf numFmtId="0" fontId="6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1" fillId="3" borderId="0" xfId="0" applyNumberFormat="1" applyFont="1" applyFill="1" applyBorder="1" applyAlignment="1" applyProtection="1">
      <x:alignment vertical="center"/>
      <x:protection locked="1" hidden="0"/>
    </x:xf>
    <x:xf numFmtId="0" fontId="5" fillId="3" borderId="0" xfId="0" applyNumberFormat="1" applyFont="1" applyFill="1" applyBorder="1" applyAlignment="1" applyProtection="1">
      <x:alignment vertical="center"/>
      <x:protection locked="1" hidden="0"/>
    </x:xf>
    <x:xf numFmtId="0" fontId="7" fillId="0" borderId="0" xfId="0" applyNumberFormat="1" applyFont="1" applyFill="1" applyBorder="1" applyAlignment="1" applyProtection="1">
      <x:alignment vertical="center"/>
      <x:protection locked="1" hidden="0"/>
    </x:xf>
    <x:xf numFmtId="203" fontId="5" fillId="3" borderId="0" xfId="0" applyNumberFormat="1" applyFont="1" applyFill="1" applyBorder="1" applyAlignment="1" applyProtection="1">
      <x:alignment vertical="center"/>
      <x:protection locked="1" hidden="0"/>
    </x:xf>
    <x:xf numFmtId="203" fontId="7" fillId="0" borderId="0" xfId="0" applyNumberFormat="1" applyFont="1" applyFill="1" applyBorder="1" applyAlignment="1" applyProtection="1">
      <x:alignment vertical="center"/>
      <x:protection locked="1" hidden="0"/>
    </x:xf>
    <x:xf numFmtId="203" fontId="1" fillId="0" borderId="0" xfId="0" applyNumberFormat="1" applyFont="1" applyFill="1" applyBorder="1" applyAlignment="1" applyProtection="1">
      <x:alignment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/>
      <x:protection locked="1" hidden="0"/>
    </x:xf>
    <x:xf numFmtId="203" fontId="7" fillId="4" borderId="0" xfId="0" applyNumberFormat="1" applyFont="1" applyFill="1" applyBorder="1" applyAlignment="1" applyProtection="1">
      <x:alignment vertical="center"/>
      <x:protection locked="1" hidden="0"/>
    </x:xf>
    <x:xf numFmtId="0" fontId="8" fillId="4" borderId="0" xfId="0" applyNumberFormat="1" applyFont="1" applyFill="1" applyBorder="1" applyAlignment="1" applyProtection="1">
      <x:alignment vertical="center"/>
      <x:protection locked="1" hidden="0"/>
    </x:xf>
    <x:xf numFmtId="203" fontId="9" fillId="4" borderId="0" xfId="0" applyNumberFormat="1" applyFont="1" applyFill="1" applyBorder="1" applyAlignment="1" applyProtection="1">
      <x:alignment vertical="center"/>
      <x:protection locked="1" hidden="0"/>
    </x:xf>
    <x:xf numFmtId="0" fontId="8" fillId="4" borderId="2" xfId="0" applyNumberFormat="1" applyFont="1" applyFill="1" applyBorder="1" applyAlignment="1" applyProtection="1">
      <x:alignment vertical="center"/>
      <x:protection locked="1" hidden="0"/>
    </x:xf>
    <x:xf numFmtId="203" fontId="9" fillId="4" borderId="2" xfId="0" applyNumberFormat="1" applyFont="1" applyFill="1" applyBorder="1" applyAlignment="1" applyProtection="1">
      <x:alignment vertical="center"/>
      <x:protection locked="1" hidden="0"/>
    </x:xf>
    <x:xf numFmtId="204" fontId="1" fillId="0" borderId="0" xfId="0" applyNumberFormat="1" applyFont="1" applyFill="1" applyBorder="1" applyAlignment="1" applyProtection="1">
      <x:alignment vertical="center"/>
      <x:protection locked="1" hidden="0"/>
    </x:xf>
    <x:xf numFmtId="204" fontId="7" fillId="0" borderId="0" xfId="0" applyNumberFormat="1" applyFont="1" applyFill="1" applyBorder="1" applyAlignment="1" applyProtection="1">
      <x:alignment vertical="center"/>
      <x:protection locked="1" hidden="0"/>
    </x:xf>
    <x:xf numFmtId="204" fontId="1" fillId="3" borderId="0" xfId="0" applyNumberFormat="1" applyFont="1" applyFill="1" applyBorder="1" applyAlignment="1" applyProtection="1">
      <x:alignment vertical="center"/>
      <x:protection locked="1" hidden="0"/>
    </x:xf>
    <x:xf numFmtId="204" fontId="5" fillId="3" borderId="0" xfId="0" applyNumberFormat="1" applyFont="1" applyFill="1" applyBorder="1" applyAlignment="1" applyProtection="1">
      <x:alignment vertical="center"/>
      <x:protection locked="1" hidden="0"/>
    </x:xf>
    <x:xf numFmtId="0" fontId="10" fillId="0" borderId="0" xfId="0" applyNumberFormat="1" applyFont="1" applyFill="1" applyBorder="1" applyAlignment="1" applyProtection="1">
      <x:alignment vertical="center"/>
      <x:protection locked="1" hidden="0"/>
    </x:xf>
    <x:xf numFmtId="203" fontId="10" fillId="0" borderId="0" xfId="0" applyNumberFormat="1" applyFont="1" applyFill="1" applyBorder="1" applyAlignment="1" applyProtection="1">
      <x:alignment vertical="center"/>
      <x:protection locked="1" hidden="0"/>
    </x:xf>
    <x:xf numFmtId="205" fontId="7" fillId="0" borderId="0" xfId="0" applyNumberFormat="1" applyFont="1" applyFill="1" applyBorder="1" applyAlignment="1" applyProtection="1">
      <x:alignment vertical="center"/>
      <x:protection locked="1" hidden="0"/>
    </x:xf>
    <x:xf numFmtId="204" fontId="10" fillId="0" borderId="0" xfId="0" applyNumberFormat="1" applyFont="1" applyFill="1" applyBorder="1" applyAlignment="1" applyProtection="1">
      <x:alignment vertical="center"/>
      <x:protection locked="1" hidden="0"/>
    </x:xf>
    <x:xf numFmtId="204" fontId="7" fillId="4" borderId="0" xfId="0" applyNumberFormat="1" applyFont="1" applyFill="1" applyBorder="1" applyAlignment="1" applyProtection="1">
      <x:alignment vertical="center"/>
      <x:protection locked="1" hidden="0"/>
    </x:xf>
    <x:xf numFmtId="204" fontId="9" fillId="4" borderId="0" xfId="0" applyNumberFormat="1" applyFont="1" applyFill="1" applyBorder="1" applyAlignment="1" applyProtection="1">
      <x:alignment vertical="center"/>
      <x:protection locked="1" hidden="0"/>
    </x:xf>
    <x:xf numFmtId="204" fontId="9" fillId="4" borderId="2" xfId="0" applyNumberFormat="1" applyFont="1" applyFill="1" applyBorder="1" applyAlignment="1" applyProtection="1">
      <x:alignment vertical="center"/>
      <x:protection locked="1" hidden="0"/>
    </x:xf>
    <x:xf numFmtId="206" fontId="7" fillId="0" borderId="0" xfId="0" applyNumberFormat="1" applyFont="1" applyFill="1" applyBorder="1" applyAlignment="1" applyProtection="1">
      <x:alignment vertical="center"/>
      <x:protection locked="1" hidden="0"/>
    </x:xf>
    <x:xf numFmtId="207" fontId="7" fillId="0" borderId="0" xfId="0" applyNumberFormat="1" applyFont="1" applyFill="1" applyBorder="1" applyAlignment="1" applyProtection="1">
      <x:alignment vertical="center"/>
      <x:protection locked="1" hidden="0"/>
    </x:xf>
    <x:xf numFmtId="201" fontId="10" fillId="0" borderId="0" xfId="0" applyNumberFormat="1" applyFont="1" applyFill="1" applyBorder="1" applyAlignment="1" applyProtection="1">
      <x:alignment vertical="center"/>
      <x:protection locked="1" hidden="0"/>
    </x:xf>
    <x:xf numFmtId="208" fontId="10" fillId="0" borderId="0" xfId="0" applyNumberFormat="1" applyFont="1" applyFill="1" applyBorder="1" applyAlignment="1" applyProtection="1">
      <x:alignment vertical="center"/>
      <x:protection locked="1" hidden="0"/>
    </x:xf>
    <x:xf numFmtId="208" fontId="7" fillId="0" borderId="0" xfId="0" applyNumberFormat="1" applyFont="1" applyFill="1" applyBorder="1" applyAlignment="1" applyProtection="1">
      <x:alignment vertical="center"/>
      <x:protection locked="1" hidden="0"/>
    </x:xf>
    <x:xf numFmtId="201" fontId="10" fillId="4" borderId="0" xfId="0" applyNumberFormat="1" applyFont="1" applyFill="1" applyBorder="1" applyAlignment="1" applyProtection="1">
      <x:alignment vertical="center"/>
      <x:protection locked="1" hidden="0"/>
    </x:xf>
    <x:xf numFmtId="203" fontId="10" fillId="4" borderId="0" xfId="0" applyNumberFormat="1" applyFont="1" applyFill="1" applyBorder="1" applyAlignment="1" applyProtection="1">
      <x:alignment vertical="center"/>
      <x:protection locked="1" hidden="0"/>
    </x:xf>
    <x:xf numFmtId="208" fontId="10" fillId="4" borderId="0" xfId="0" applyNumberFormat="1" applyFont="1" applyFill="1" applyBorder="1" applyAlignment="1" applyProtection="1">
      <x:alignment vertical="center"/>
      <x:protection locked="1" hidden="0"/>
    </x:xf>
    <x:xf numFmtId="208" fontId="7" fillId="4" borderId="0" xfId="0" applyNumberFormat="1" applyFont="1" applyFill="1" applyBorder="1" applyAlignment="1" applyProtection="1">
      <x:alignment vertical="center"/>
      <x:protection locked="1" hidden="0"/>
    </x:xf>
    <x:xf numFmtId="201" fontId="11" fillId="4" borderId="0" xfId="0" applyNumberFormat="1" applyFont="1" applyFill="1" applyBorder="1" applyAlignment="1" applyProtection="1">
      <x:alignment vertical="center"/>
      <x:protection locked="1" hidden="0"/>
    </x:xf>
    <x:xf numFmtId="203" fontId="11" fillId="4" borderId="0" xfId="0" applyNumberFormat="1" applyFont="1" applyFill="1" applyBorder="1" applyAlignment="1" applyProtection="1">
      <x:alignment vertical="center"/>
      <x:protection locked="1" hidden="0"/>
    </x:xf>
    <x:xf numFmtId="208" fontId="11" fillId="4" borderId="0" xfId="0" applyNumberFormat="1" applyFont="1" applyFill="1" applyBorder="1" applyAlignment="1" applyProtection="1">
      <x:alignment vertical="center"/>
      <x:protection locked="1" hidden="0"/>
    </x:xf>
    <x:xf numFmtId="208" fontId="9" fillId="4" borderId="0" xfId="0" applyNumberFormat="1" applyFont="1" applyFill="1" applyBorder="1" applyAlignment="1" applyProtection="1">
      <x:alignment vertical="center"/>
      <x:protection locked="1" hidden="0"/>
    </x:xf>
    <x:xf numFmtId="201" fontId="11" fillId="4" borderId="2" xfId="0" applyNumberFormat="1" applyFont="1" applyFill="1" applyBorder="1" applyAlignment="1" applyProtection="1">
      <x:alignment vertical="center"/>
      <x:protection locked="1" hidden="0"/>
    </x:xf>
    <x:xf numFmtId="203" fontId="11" fillId="4" borderId="2" xfId="0" applyNumberFormat="1" applyFont="1" applyFill="1" applyBorder="1" applyAlignment="1" applyProtection="1">
      <x:alignment vertical="center"/>
      <x:protection locked="1" hidden="0"/>
    </x:xf>
    <x:xf numFmtId="208" fontId="11" fillId="4" borderId="2" xfId="0" applyNumberFormat="1" applyFont="1" applyFill="1" applyBorder="1" applyAlignment="1" applyProtection="1">
      <x:alignment vertical="center"/>
      <x:protection locked="1" hidden="0"/>
    </x:xf>
    <x:xf numFmtId="208" fontId="9" fillId="4" borderId="2" xfId="0" applyNumberFormat="1" applyFont="1" applyFill="1" applyBorder="1" applyAlignment="1" applyProtection="1">
      <x:alignment vertical="center"/>
      <x:protection locked="1" hidden="0"/>
    </x:xf>
    <x:xf numFmtId="0" fontId="8" fillId="4" borderId="0" xfId="0" applyNumberFormat="1" applyFont="1" applyFill="1" applyBorder="1" applyAlignment="1" applyProtection="1">
      <x:alignment horizontal="center" vertical="center"/>
      <x:protection locked="1" hidden="0"/>
    </x:xf>
    <x:xf numFmtId="209" fontId="10" fillId="0" borderId="0" xfId="0" applyNumberFormat="1" applyFont="1" applyFill="1" applyBorder="1" applyAlignment="1" applyProtection="1">
      <x:alignment vertical="center"/>
      <x:protection locked="1" hidden="0"/>
    </x:xf>
    <x:xf numFmtId="207" fontId="10" fillId="0" borderId="0" xfId="0" applyNumberFormat="1" applyFont="1" applyFill="1" applyBorder="1" applyAlignment="1" applyProtection="1">
      <x:alignment vertical="center"/>
      <x:protection locked="1" hidden="0"/>
    </x:xf>
    <x:xf numFmtId="210" fontId="10" fillId="0" borderId="0" xfId="0" applyNumberFormat="1" applyFont="1" applyFill="1" applyBorder="1" applyAlignment="1" applyProtection="1">
      <x:alignment vertical="center"/>
      <x:protection locked="1" hidden="0"/>
    </x:xf>
    <x:xf numFmtId="210" fontId="7" fillId="0" borderId="0" xfId="0" applyNumberFormat="1" applyFont="1" applyFill="1" applyBorder="1" applyAlignment="1" applyProtection="1">
      <x:alignment vertical="center"/>
      <x:protection locked="1" hidden="0"/>
    </x:xf>
    <x:xf numFmtId="210" fontId="1" fillId="0" borderId="0" xfId="0" applyNumberFormat="1" applyFont="1" applyFill="1" applyBorder="1" applyAlignment="1" applyProtection="1">
      <x:alignment vertical="center"/>
      <x:protection locked="1" hidden="0"/>
    </x:xf>
    <x:xf numFmtId="0" fontId="12" fillId="0" borderId="0" xfId="0" applyNumberFormat="1" applyFont="1" applyFill="1" applyBorder="1" applyProtection="1">
      <x:protection locked="1" hidden="0"/>
    </x:xf>
    <x:xf numFmtId="0" fontId="7" fillId="0" borderId="0" xfId="0" applyNumberFormat="1" applyFont="1" applyFill="1" applyBorder="1" applyProtection="1">
      <x:protection locked="1" hidden="0"/>
    </x:xf>
    <x:xf numFmtId="201" fontId="7" fillId="0" borderId="0" xfId="0" applyNumberFormat="1" applyFont="1" applyFill="1" applyBorder="1" applyProtection="1">
      <x:protection locked="1" hidden="0"/>
    </x:xf>
    <x:xf numFmtId="211" fontId="1" fillId="0" borderId="0" xfId="0" applyNumberFormat="1" applyFont="1" applyFill="1" applyBorder="1" applyAlignment="1" applyProtection="1">
      <x:alignment vertical="center"/>
      <x:protection locked="1" hidden="0"/>
    </x:xf>
    <x:xf numFmtId="211" fontId="7" fillId="0" borderId="0" xfId="0" applyNumberFormat="1" applyFont="1" applyFill="1" applyBorder="1" applyProtection="1">
      <x:protection locked="1" hidden="0"/>
    </x:xf>
    <x:xf numFmtId="0" fontId="1" fillId="0" borderId="1" xfId="0" applyNumberFormat="1" applyFont="1" applyFill="1" applyBorder="1" applyAlignment="1" applyProtection="1">
      <x:alignment vertical="center" wrapText="1"/>
      <x:protection locked="1" hidden="0"/>
    </x:xf>
    <x:xf numFmtId="209" fontId="1" fillId="0" borderId="0" xfId="0" applyNumberFormat="1" applyFont="1" applyFill="1" applyBorder="1" applyAlignment="1" applyProtection="1">
      <x:alignment vertical="center"/>
      <x:protection locked="1" hidden="0"/>
    </x:xf>
    <x:xf numFmtId="203" fontId="1" fillId="4" borderId="0" xfId="0" applyNumberFormat="1" applyFont="1" applyFill="1" applyBorder="1" applyAlignment="1" applyProtection="1">
      <x:alignment vertical="center"/>
      <x:protection locked="1" hidden="0"/>
    </x:xf>
    <x:xf numFmtId="203" fontId="8" fillId="4" borderId="0" xfId="0" applyNumberFormat="1" applyFont="1" applyFill="1" applyBorder="1" applyAlignment="1" applyProtection="1">
      <x:alignment vertical="center"/>
      <x:protection locked="1" hidden="0"/>
    </x:xf>
    <x:xf numFmtId="203" fontId="8" fillId="4" borderId="2" xfId="0" applyNumberFormat="1" applyFont="1" applyFill="1" applyBorder="1" applyAlignment="1" applyProtection="1">
      <x:alignment vertical="center"/>
      <x:protection locked="1" hidden="0"/>
    </x:xf>
    <x:xf numFmtId="207" fontId="1" fillId="0" borderId="0" xfId="0" applyNumberFormat="1" applyFont="1" applyFill="1" applyBorder="1" applyAlignment="1" applyProtection="1">
      <x:alignment vertical="center"/>
      <x:protection locked="1" hidden="0"/>
    </x:xf>
    <x:xf numFmtId="0" fontId="13" fillId="0" borderId="0" xfId="0" applyNumberFormat="1" applyFont="1" applyFill="1" applyBorder="1" applyProtection="1">
      <x:protection locked="1" hidden="0"/>
    </x:xf>
    <x:xf numFmtId="204" fontId="13" fillId="0" borderId="0" xfId="0" applyNumberFormat="1" applyFont="1" applyFill="1" applyBorder="1" applyProtection="1">
      <x:protection locked="1" hidden="0"/>
    </x:xf>
    <x:xf numFmtId="203" fontId="13" fillId="0" borderId="0" xfId="0" applyNumberFormat="1" applyFont="1" applyFill="1" applyBorder="1" applyProtection="1">
      <x:protection locked="1" hidden="0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84e4913534489" /><Relationship Type="http://schemas.openxmlformats.org/officeDocument/2006/relationships/theme" Target="/xl/theme/theme1.xml" Id="Rcb1d9efc4e9e4465" /><Relationship Type="http://schemas.openxmlformats.org/officeDocument/2006/relationships/sharedStrings" Target="/xl/sharedStrings.xml" Id="R3008fe98fa804789" /><Relationship Type="http://schemas.openxmlformats.org/officeDocument/2006/relationships/worksheet" Target="/xl/worksheets/sheet1.xml" Id="R02f2f5f028754546" /><Relationship Type="http://schemas.openxmlformats.org/officeDocument/2006/relationships/worksheet" Target="/xl/worksheets/sheet2.xml" Id="R5e4e3c39506845d0" /><Relationship Type="http://schemas.openxmlformats.org/officeDocument/2006/relationships/worksheet" Target="/xl/worksheets/sheet3.xml" Id="Rc286cde2f2e14bb5" /><Relationship Type="http://schemas.openxmlformats.org/officeDocument/2006/relationships/worksheet" Target="/xl/worksheets/sheet4.xml" Id="R9565eebd6c09476b" /><Relationship Type="http://schemas.openxmlformats.org/officeDocument/2006/relationships/worksheet" Target="/xl/worksheets/sheet5.xml" Id="Rf02ce2be51ea4faa" /><Relationship Type="http://schemas.openxmlformats.org/officeDocument/2006/relationships/worksheet" Target="/xl/worksheets/sheet6.xml" Id="R6bdc0a886ba04d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e5e43fd3df4bfe" /><Relationship Type="http://schemas.openxmlformats.org/officeDocument/2006/relationships/chart" Target="/xl/drawings/charts/chart2.xml" Id="Rbad4aefc952640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Portfolio and benchmark value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Portfolio wealth</c:v>
          </c:tx>
          <c:spPr>
            <a:solidFill xmlns:a="http://schemas.openxmlformats.org/drawingml/2006/main">
              <a:srgbClr val="233D5B"/>
            </a:solidFill>
            <a:ln xmlns:a="http://schemas.openxmlformats.org/drawingml/2006/main" w="19050">
              <a:solidFill>
                <a:srgbClr val="233D5B"/>
              </a:solidFill>
              <a:prstDash val="solid"/>
            </a:ln>
          </c:spPr>
          <c:marker>
            <c:symbol val="none"/>
          </c:marker>
          <c:cat>
            <c:strRef>
              <c:f>'Summary'!$J$51:$J$111</c:f>
              <c:strCache>
                <c:ptCount val="0"/>
              </c:strCache>
            </c:strRef>
          </c:cat>
          <c:val>
            <c:numRef>
              <c:f>'Summary'!$K$51:$K$111</c:f>
              <c:numCache>
                <c:formatCode>$0,"K"</c:formatCode>
                <c:ptCount val="0"/>
              </c:numCache>
            </c:numRef>
          </c:val>
          <c:smooth val="0"/>
        </c:ser>
        <c:ser>
          <c:idx val="1"/>
          <c:order val="1"/>
          <c:tx>
            <c:v>Benchmark wealth</c:v>
          </c:tx>
          <c:spPr>
            <a:solidFill xmlns:a="http://schemas.openxmlformats.org/drawingml/2006/main">
              <a:srgbClr val="187E83"/>
            </a:solidFill>
            <a:ln xmlns:a="http://schemas.openxmlformats.org/drawingml/2006/main" w="19050">
              <a:solidFill>
                <a:srgbClr val="187E83"/>
              </a:solidFill>
              <a:prstDash val="dash"/>
            </a:ln>
          </c:spPr>
          <c:marker>
            <c:symbol val="none"/>
          </c:marker>
          <c:cat>
            <c:strRef>
              <c:f>'Summary'!$J$51:$J$111</c:f>
              <c:strCache>
                <c:ptCount val="0"/>
              </c:strCache>
            </c:strRef>
          </c:cat>
          <c:val>
            <c:numRef>
              <c:f>'Summary'!$L$51:$L$111</c:f>
              <c:numCache>
                <c:formatCode>$0,"K"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Month-end drawdown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Portfolio drawdown</c:v>
          </c:tx>
          <c:spPr>
            <a:solidFill xmlns:a="http://schemas.openxmlformats.org/drawingml/2006/main">
              <a:srgbClr val="233D5B"/>
            </a:solidFill>
            <a:ln xmlns:a="http://schemas.openxmlformats.org/drawingml/2006/main" w="19050">
              <a:solidFill>
                <a:srgbClr val="233D5B"/>
              </a:solidFill>
              <a:prstDash val="solid"/>
            </a:ln>
          </c:spPr>
          <c:marker>
            <c:symbol val="none"/>
          </c:marker>
          <c:cat>
            <c:strRef>
              <c:f>'Summary'!$J$51:$J$111</c:f>
              <c:strCache>
                <c:ptCount val="0"/>
              </c:strCache>
            </c:strRef>
          </c:cat>
          <c:val>
            <c:numRef>
              <c:f>'Summary'!$M$51:$M$111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Benchmark drawdown</c:v>
          </c:tx>
          <c:spPr>
            <a:solidFill xmlns:a="http://schemas.openxmlformats.org/drawingml/2006/main">
              <a:srgbClr val="187E83"/>
            </a:solidFill>
            <a:ln xmlns:a="http://schemas.openxmlformats.org/drawingml/2006/main" w="19050">
              <a:solidFill>
                <a:srgbClr val="187E83"/>
              </a:solidFill>
              <a:prstDash val="dash"/>
            </a:ln>
          </c:spPr>
          <c:marker>
            <c:symbol val="none"/>
          </c:marker>
          <c:cat>
            <c:strRef>
              <c:f>'Summary'!$J$51:$J$111</c:f>
              <c:strCache>
                <c:ptCount val="0"/>
              </c:strCache>
            </c:strRef>
          </c:cat>
          <c:val>
            <c:numRef>
              <c:f>'Summary'!$N$51:$N$111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5e43fd3df4bfe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d4aefc952640b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e8c474e39c4294" /></Relationships>
</file>

<file path=xl/worksheets/sheet1.xml><?xml version="1.0" encoding="utf-8"?>
<x:worksheet xmlns:x="http://schemas.openxmlformats.org/spreadsheetml/2006/main">
  <x:sheetPr>
    <x:tabColor rgb="FF233D5B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13" hidden="0" customWidth="1"/>
    <x:col min="5" max="5" width="13" hidden="0" customWidth="1"/>
    <x:col min="6" max="6" width="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1" customHeight="1">
      <x:c r="A2" s="2"/>
      <x:c r="B2" s="2"/>
      <x:c r="C2" s="3" t="str">
        <x:v>Portfolio performance and risk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9" customHeight="1">
      <x:c r="A3" s="2"/>
      <x:c r="B3" s="2"/>
      <x:c r="C3" s="68" t="str">
        <x:f>"January 2021-December 2025. Hypothetical USD "&amp;TEXT('Allocation'!G16,"#,##0")&amp;". Rebalance every "&amp;'Allocation'!G17&amp;" months. Prepared by Trimanjeev Sawhney."</x:f>
        <x:v>January 2021-December 2025. Hypothetical USD 100,000. Rebalance every 3 months. Prepared by Trimanjeev Sawhney.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3" customHeight="1">
      <x:c r="A7" s="2"/>
      <x:c r="B7" s="2"/>
      <x:c r="C7" s="11" t="str">
        <x:v>Performance</x:v>
      </x:c>
      <x:c r="D7" s="11" t="str">
        <x:v>Portfolio</x:v>
      </x:c>
      <x:c r="E7" s="11" t="str">
        <x:v>U.S. 60/40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22" customHeight="1">
      <x:c r="A8" s="2"/>
      <x:c r="B8" s="2"/>
      <x:c r="C8" s="2" t="str">
        <x:v>Total return</x:v>
      </x:c>
      <x:c r="D8" s="22" t="n">
        <x:f>'Risk'!D8</x:f>
        <x:v>0.5565071251377331</x:v>
      </x:c>
      <x:c r="E8" s="22" t="n">
        <x:f>'Risk'!E8</x:f>
        <x:v>0.5013464390898641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 ht="22" customHeight="1">
      <x:c r="A9" s="2"/>
      <x:c r="B9" s="2"/>
      <x:c r="C9" s="27" t="str">
        <x:v>Annualized return (CAGR)</x:v>
      </x:c>
      <x:c r="D9" s="72" t="n">
        <x:f>'Risk'!D9</x:f>
        <x:v>0.09252207934600887</x:v>
      </x:c>
      <x:c r="E9" s="72" t="n">
        <x:f>'Risk'!E9</x:f>
        <x:v>0.08466639135640008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22" customHeight="1">
      <x:c r="A10" s="2"/>
      <x:c r="B10" s="2"/>
      <x:c r="C10" s="2" t="str">
        <x:v>Annualized volatility</x:v>
      </x:c>
      <x:c r="D10" s="22" t="n">
        <x:f>'Risk'!D10</x:f>
        <x:v>0.10485417654915065</x:v>
      </x:c>
      <x:c r="E10" s="22" t="n">
        <x:f>'Risk'!E10</x:f>
        <x:v>0.10864749013784276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22" customHeight="1">
      <x:c r="A11" s="2"/>
      <x:c r="B11" s="2"/>
      <x:c r="C11" s="2" t="str">
        <x:v>Maximum drawdown</x:v>
      </x:c>
      <x:c r="D11" s="22" t="n">
        <x:f>'Risk'!D11</x:f>
        <x:v>-0.2039354880323484</x:v>
      </x:c>
      <x:c r="E11" s="22" t="n">
        <x:f>'Risk'!E11</x:f>
        <x:v>-0.20103571660987685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2" customHeight="1">
      <x:c r="A12" s="2"/>
      <x:c r="B12" s="2"/>
      <x:c r="C12" s="2" t="str">
        <x:v>Best month</x:v>
      </x:c>
      <x:c r="D12" s="22" t="n">
        <x:f>'Risk'!D12</x:f>
        <x:v>0.06871185333820029</x:v>
      </x:c>
      <x:c r="E12" s="22" t="n">
        <x:f>'Risk'!E12</x:f>
        <x:v>0.07276321284055376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A13" s="2"/>
      <x:c r="B13" s="2"/>
      <x:c r="C13" s="2" t="str">
        <x:v>Worst month</x:v>
      </x:c>
      <x:c r="D13" s="22" t="n">
        <x:f>'Risk'!D13</x:f>
        <x:v>-0.07231593223354016</x:v>
      </x:c>
      <x:c r="E13" s="22" t="n">
        <x:f>'Risk'!E13</x:f>
        <x:v>-0.07311575291291561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A14" s="2"/>
      <x:c r="B14" s="2"/>
      <x:c r="C14" s="2" t="str">
        <x:v>Ending value</x:v>
      </x:c>
      <x:c r="D14" s="29" t="n">
        <x:f>'Risk'!D14</x:f>
        <x:v>155650.71251377332</x:v>
      </x:c>
      <x:c r="E14" s="29" t="n">
        <x:f>'Risk'!E14</x:f>
        <x:v>150134.6439089864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/>
      <x:c r="B15" s="2"/>
      <x:c r="C15" s="2" t="str">
        <x:v>Positive months</x:v>
      </x:c>
      <x:c r="D15" s="69" t="n">
        <x:f>'Risk'!D15</x:f>
        <x:v>41</x:v>
      </x:c>
      <x:c r="E15" s="69" t="n">
        <x:f>'Risk'!E15</x:f>
        <x:v>39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/>
      <x:c r="B18" s="2"/>
      <x:c r="C18" s="2" t="str">
        <x:v>Tracking error</x:v>
      </x:c>
      <x:c r="D18" s="22" t="n">
        <x:f>'Risk'!D18</x:f>
        <x:v>0.02715697948478537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2" customHeight="1">
      <x:c r="A19" s="2"/>
      <x:c r="B19" s="2"/>
      <x:c r="C19" s="2" t="str">
        <x:v>CAGR spread (pp)</x:v>
      </x:c>
      <x:c r="D19" s="73" t="n">
        <x:f>'Risk'!D19</x:f>
        <x:v>0.7855687989608784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31" customHeight="1">
      <x:c r="A23" s="2"/>
      <x:c r="B23" s="2"/>
      <x:c r="C23" s="5" t="str">
        <x:v>The portfolio holds U.S. equity, developed international equity, U.S. bonds and gold. The benchmark holds U.S. equity and U.S. bonds.</x:v>
      </x:c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33" customHeight="1">
      <x:c r="A26" s="2"/>
      <x:c r="B26" s="2"/>
      <x:c r="C26" s="11" t="str">
        <x:v>Calendar year</x:v>
      </x:c>
      <x:c r="D26" s="11" t="str">
        <x:v>Portfolio</x:v>
      </x:c>
      <x:c r="E26" s="11" t="str">
        <x:v>U.S. 60/40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2" customHeight="1">
      <x:c r="A27" s="2"/>
      <x:c r="B27" s="2"/>
      <x:c r="C27" s="2" t="n">
        <x:v>2021</x:v>
      </x:c>
      <x:c r="D27" s="22" t="n">
        <x:f>'Risk'!D44</x:f>
        <x:v>0.12303951141978064</x:v>
      </x:c>
      <x:c r="E27" s="22" t="n">
        <x:f>'Risk'!E44</x:f>
        <x:v>0.1587450502594936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2" customHeight="1">
      <x:c r="A28" s="2"/>
      <x:c r="B28" s="2"/>
      <x:c r="C28" s="2" t="n">
        <x:v>2022</x:v>
      </x:c>
      <x:c r="D28" s="22" t="n">
        <x:f>'Risk'!D45</x:f>
        <x:v>-0.14061837488748397</x:v>
      </x:c>
      <x:c r="E28" s="22" t="n">
        <x:f>'Risk'!E45</x:f>
        <x:v>-0.15943460860932956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2" customHeight="1">
      <x:c r="A29" s="2"/>
      <x:c r="B29" s="2"/>
      <x:c r="C29" s="2" t="n">
        <x:v>2023</x:v>
      </x:c>
      <x:c r="D29" s="22" t="n">
        <x:f>'Risk'!D46</x:f>
        <x:v>0.16907822498166047</x:v>
      </x:c>
      <x:c r="E29" s="22" t="n">
        <x:f>'Risk'!E46</x:f>
        <x:v>0.1772296009267642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2" customHeight="1">
      <x:c r="A30" s="2"/>
      <x:c r="B30" s="2"/>
      <x:c r="C30" s="2" t="n">
        <x:v>2024</x:v>
      </x:c>
      <x:c r="D30" s="22" t="n">
        <x:f>'Risk'!D47</x:f>
        <x:v>0.13387029086893376</x:v>
      </x:c>
      <x:c r="E30" s="22" t="n">
        <x:f>'Risk'!E47</x:f>
        <x:v>0.15170864979775045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2" customHeight="1">
      <x:c r="A31" s="2"/>
      <x:c r="B31" s="2"/>
      <x:c r="C31" s="2" t="n">
        <x:v>2025</x:v>
      </x:c>
      <x:c r="D31" s="22" t="n">
        <x:f>'Risk'!D48</x:f>
        <x:v>0.21664273068763995</x:v>
      </x:c>
      <x:c r="E31" s="22" t="n">
        <x:f>'Risk'!E48</x:f>
        <x:v>0.13688809593891715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33" customHeight="1">
      <x:c r="A34" s="2"/>
      <x:c r="B34" s="2"/>
      <x:c r="C34" s="11" t="str">
        <x:v>Fund</x:v>
      </x:c>
      <x:c r="D34" s="11" t="str">
        <x:v>Target</x:v>
      </x:c>
      <x:c r="E34" s="11" t="str">
        <x:v>Ending weight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2" customHeight="1">
      <x:c r="A35" s="2"/>
      <x:c r="B35" s="2"/>
      <x:c r="C35" s="2" t="str">
        <x:v>IVV</x:v>
      </x:c>
      <x:c r="D35" s="22" t="n">
        <x:f>'Allocation'!D23</x:f>
        <x:v>0.4</x:v>
      </x:c>
      <x:c r="E35" s="22" t="n">
        <x:f>'Allocation'!E23</x:f>
        <x:v>0.3969298789585822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2" customHeight="1">
      <x:c r="A36" s="2"/>
      <x:c r="B36" s="2"/>
      <x:c r="C36" s="2" t="str">
        <x:v>IEFA</x:v>
      </x:c>
      <x:c r="D36" s="22" t="n">
        <x:f>'Allocation'!D24</x:f>
        <x:v>0.2</x:v>
      </x:c>
      <x:c r="E36" s="22" t="n">
        <x:f>'Allocation'!E24</x:f>
        <x:v>0.20133398788504311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2" customHeight="1">
      <x:c r="A37" s="2"/>
      <x:c r="B37" s="2"/>
      <x:c r="C37" s="2" t="str">
        <x:v>AGG</x:v>
      </x:c>
      <x:c r="D37" s="22" t="n">
        <x:f>'Allocation'!D25</x:f>
        <x:v>0.3</x:v>
      </x:c>
      <x:c r="E37" s="22" t="n">
        <x:f>'Allocation'!E25</x:f>
        <x:v>0.29293020748974413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2" customHeight="1">
      <x:c r="A38" s="2"/>
      <x:c r="B38" s="2"/>
      <x:c r="C38" s="2" t="str">
        <x:v>IAU</x:v>
      </x:c>
      <x:c r="D38" s="22" t="n">
        <x:f>'Allocation'!D26</x:f>
        <x:v>0.1</x:v>
      </x:c>
      <x:c r="E38" s="22" t="n">
        <x:f>'Allocation'!E26</x:f>
        <x:v>0.10880592566663053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30" customHeight="1">
      <x:c r="A42" s="2"/>
      <x:c r="B42" s="2"/>
      <x:c r="C42" s="5" t="str">
        <x:v>Read the return advantage alongside volatility and drawdown. Diversification benefits depend on the period and on the specific exposures held.</x:v>
      </x:c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32" customHeight="1">
      <x:c r="A44" s="2"/>
      <x:c r="B44" s="2"/>
      <x:c r="C44" s="5" t="str">
        <x:v>Use Allocation to change weights, capital or rebalancing frequency. Charts and tables recalculate. The accompanying PDF and R results remain snapshots of the delivered inputs.</x:v>
      </x:c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34" customHeight="1">
      <x:c r="A46" s="2"/>
      <x:c r="B46" s="2"/>
      <x:c r="C46" s="5" t="str">
        <x:v>Historical study, not a live account. Returns are in USD using fund NAVs with reinvested distributions. Taxes and trading costs are excluded. Month-end drawdowns omit intramonth extremes.</x:v>
      </x:c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3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11" t="str">
        <x:v>Month</x:v>
      </x:c>
      <x:c r="K50" s="11" t="str">
        <x:v>Portfolio wealth</x:v>
      </x:c>
      <x:c r="L50" s="11" t="str">
        <x:v>Benchmark wealth</x:v>
      </x:c>
      <x:c r="M50" s="11" t="str">
        <x:v>Portfolio drawdown</x:v>
      </x:c>
      <x:c r="N50" s="11" t="str">
        <x:v>Benchmark drawdown</x:v>
      </x:c>
      <x:c r="O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 t="str">
        <x:f>TEXT('Monthly'!C8,"mmm-yy")</x:f>
        <x:v>Dec-20</x:v>
      </x:c>
      <x:c r="K51" s="29" t="n">
        <x:f>'Monthly'!K8</x:f>
        <x:v>100000</x:v>
      </x:c>
      <x:c r="L51" s="29" t="n">
        <x:f>'Monthly'!L8</x:f>
        <x:v>100000</x:v>
      </x:c>
      <x:c r="M51" s="22" t="n">
        <x:f>'Monthly'!N8</x:f>
        <x:v>0</x:v>
      </x:c>
      <x:c r="N51" s="22" t="n">
        <x:f>'Monthly'!P8</x:f>
        <x:v>0</x:v>
      </x:c>
      <x:c r="O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 t="str">
        <x:f>TEXT('Monthly'!C9,"mmm-yy")</x:f>
        <x:v>Jan-21</x:v>
      </x:c>
      <x:c r="K52" s="29" t="n">
        <x:f>'Monthly'!K9</x:f>
        <x:v>99043</x:v>
      </x:c>
      <x:c r="L52" s="29" t="n">
        <x:f>'Monthly'!L9</x:f>
        <x:v>99110</x:v>
      </x:c>
      <x:c r="M52" s="22" t="n">
        <x:f>'Monthly'!N9</x:f>
        <x:v>-0.009569999999999967</x:v>
      </x:c>
      <x:c r="N52" s="22" t="n">
        <x:f>'Monthly'!P9</x:f>
        <x:v>-0.008900000000000019</x:v>
      </x:c>
      <x:c r="O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 t="str">
        <x:f>TEXT('Monthly'!C10,"mmm-yy")</x:f>
        <x:v>Feb-21</x:v>
      </x:c>
      <x:c r="K53" s="29" t="n">
        <x:f>'Monthly'!K10</x:f>
        <x:v>99514.33540000001</x:v>
      </x:c>
      <x:c r="L53" s="29" t="n">
        <x:f>'Monthly'!L10</x:f>
        <x:v>100155.53820000001</x:v>
      </x:c>
      <x:c r="M53" s="22" t="n">
        <x:f>'Monthly'!N10</x:f>
        <x:v>-0.004856645999999909</x:v>
      </x:c>
      <x:c r="N53" s="22" t="n">
        <x:f>'Monthly'!P10</x:f>
        <x:v>0</x:v>
      </x:c>
      <x:c r="O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 t="str">
        <x:f>TEXT('Monthly'!C11,"mmm-yy")</x:f>
        <x:v>Mar-21</x:v>
      </x:c>
      <x:c r="K54" s="29" t="n">
        <x:f>'Monthly'!K11</x:f>
        <x:v>101123.42768214003</x:v>
      </x:c>
      <x:c r="L54" s="29" t="n">
        <x:f>'Monthly'!L11</x:f>
        <x:v>102337.24301982002</x:v>
      </x:c>
      <x:c r="M54" s="22" t="n">
        <x:f>'Monthly'!N11</x:f>
        <x:v>0</x:v>
      </x:c>
      <x:c r="N54" s="22" t="n">
        <x:f>'Monthly'!P11</x:f>
        <x:v>0</x:v>
      </x:c>
      <x:c r="O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 t="str">
        <x:f>TEXT('Monthly'!C12,"mmm-yy")</x:f>
        <x:v>Apr-21</x:v>
      </x:c>
      <x:c r="K55" s="29" t="n">
        <x:f>'Monthly'!K12</x:f>
        <x:v>104632.41062271027</x:v>
      </x:c>
      <x:c r="L55" s="29" t="n">
        <x:f>'Monthly'!L12</x:f>
        <x:v>105933.37373953649</x:v>
      </x:c>
      <x:c r="M55" s="22" t="n">
        <x:f>'Monthly'!N12</x:f>
        <x:v>0</x:v>
      </x:c>
      <x:c r="N55" s="22" t="n">
        <x:f>'Monthly'!P12</x:f>
        <x:v>0</x:v>
      </x:c>
      <x:c r="O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 t="str">
        <x:f>TEXT('Monthly'!C13,"mmm-yy")</x:f>
        <x:v>May-21</x:v>
      </x:c>
      <x:c r="K56" s="29" t="n">
        <x:f>'Monthly'!K13</x:f>
        <x:v>106495.65831699899</x:v>
      </x:c>
      <x:c r="L56" s="29" t="n">
        <x:f>'Monthly'!L13</x:f>
        <x:v>106503.40671504539</x:v>
      </x:c>
      <x:c r="M56" s="22" t="n">
        <x:f>'Monthly'!N13</x:f>
        <x:v>0</x:v>
      </x:c>
      <x:c r="N56" s="22" t="n">
        <x:f>'Monthly'!P13</x:f>
        <x:v>0</x:v>
      </x:c>
      <x:c r="O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 t="str">
        <x:f>TEXT('Monthly'!C14,"mmm-yy")</x:f>
        <x:v>Jun-21</x:v>
      </x:c>
      <x:c r="K57" s="29" t="n">
        <x:f>'Monthly'!K14</x:f>
        <x:v>106606.10864032815</x:v>
      </x:c>
      <x:c r="L57" s="29" t="n">
        <x:f>'Monthly'!L14</x:f>
        <x:v>108318.68496181857</x:v>
      </x:c>
      <x:c r="M57" s="22" t="n">
        <x:f>'Monthly'!N14</x:f>
        <x:v>0</x:v>
      </x:c>
      <x:c r="N57" s="22" t="n">
        <x:f>'Monthly'!P14</x:f>
        <x:v>0</x:v>
      </x:c>
      <x:c r="O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 t="str">
        <x:f>TEXT('Monthly'!C15,"mmm-yy")</x:f>
        <x:v>Jul-21</x:v>
      </x:c>
      <x:c r="K58" s="29" t="n">
        <x:f>'Monthly'!K15</x:f>
        <x:v>108553.80224518696</x:v>
      </x:c>
      <x:c r="L58" s="29" t="n">
        <x:f>'Monthly'!L15</x:f>
        <x:v>110344.24437060457</x:v>
      </x:c>
      <x:c r="M58" s="22" t="n">
        <x:f>'Monthly'!N15</x:f>
        <x:v>0</x:v>
      </x:c>
      <x:c r="N58" s="22" t="n">
        <x:f>'Monthly'!P15</x:f>
        <x:v>0</x:v>
      </x:c>
      <x:c r="O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 t="str">
        <x:f>TEXT('Monthly'!C16,"mmm-yy")</x:f>
        <x:v>Aug-21</x:v>
      </x:c>
      <x:c r="K59" s="29" t="n">
        <x:f>'Monthly'!K16</x:f>
        <x:v>110123.44628261439</x:v>
      </x:c>
      <x:c r="L59" s="29" t="n">
        <x:f>'Monthly'!L16</x:f>
        <x:v>112283.55784277554</x:v>
      </x:c>
      <x:c r="M59" s="22" t="n">
        <x:f>'Monthly'!N16</x:f>
        <x:v>0</x:v>
      </x:c>
      <x:c r="N59" s="22" t="n">
        <x:f>'Monthly'!P16</x:f>
        <x:v>0</x:v>
      </x:c>
      <x:c r="O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 t="str">
        <x:f>TEXT('Monthly'!C17,"mmm-yy")</x:f>
        <x:v>Sep-21</x:v>
      </x:c>
      <x:c r="K60" s="29" t="n">
        <x:f>'Monthly'!K17</x:f>
        <x:v>106572.15890719918</x:v>
      </x:c>
      <x:c r="L60" s="29" t="n">
        <x:f>'Monthly'!L17</x:f>
        <x:v>108719.72035773535</x:v>
      </x:c>
      <x:c r="M60" s="22" t="n">
        <x:f>'Monthly'!N17</x:f>
        <x:v>-0.03224824045463848</x:v>
      </x:c>
      <x:c r="N60" s="22" t="n">
        <x:f>'Monthly'!P17</x:f>
        <x:v>-0.03173962023923782</x:v>
      </x:c>
      <x:c r="O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 t="str">
        <x:f>TEXT('Monthly'!C18,"mmm-yy")</x:f>
        <x:v>Oct-21</x:v>
      </x:c>
      <x:c r="K61" s="29" t="n">
        <x:f>'Monthly'!K18</x:f>
        <x:v>110324.56462232166</x:v>
      </x:c>
      <x:c r="L61" s="29" t="n">
        <x:f>'Monthly'!L18</x:f>
        <x:v>113264.2046686887</x:v>
      </x:c>
      <x:c r="M61" s="22" t="n">
        <x:f>'Monthly'!N18</x:f>
        <x:v>0</x:v>
      </x:c>
      <x:c r="N61" s="22" t="n">
        <x:f>'Monthly'!P18</x:f>
        <x:v>0</x:v>
      </x:c>
      <x:c r="O61" s="2"/>
    </x:row>
    <x:row r="62">
      <x:c r="J62" s="74" t="str">
        <x:f>TEXT('Monthly'!C19,"mmm-yy")</x:f>
        <x:v>Nov-21</x:v>
      </x:c>
      <x:c r="K62" s="75" t="n">
        <x:f>'Monthly'!K19</x:f>
        <x:v>109296.27181489083</x:v>
      </x:c>
      <x:c r="L62" s="75" t="n">
        <x:f>'Monthly'!L19</x:f>
        <x:v>112912.99648404506</x:v>
      </x:c>
      <x:c r="M62" s="76" t="n">
        <x:f>'Monthly'!N19</x:f>
        <x:v>-0.009320615140889332</x:v>
      </x:c>
      <x:c r="N62" s="76" t="n">
        <x:f>'Monthly'!P19</x:f>
        <x:v>-0.003100787099251434</x:v>
      </x:c>
    </x:row>
    <x:row r="63">
      <x:c r="J63" s="74" t="str">
        <x:f>TEXT('Monthly'!C20,"mmm-yy")</x:f>
        <x:v>Dec-21</x:v>
      </x:c>
      <x:c r="K63" s="75" t="n">
        <x:f>'Monthly'!K20</x:f>
        <x:v>112303.95114197806</x:v>
      </x:c>
      <x:c r="L63" s="75" t="n">
        <x:f>'Monthly'!L20</x:f>
        <x:v>115874.50502594936</x:v>
      </x:c>
      <x:c r="M63" s="76" t="n">
        <x:f>'Monthly'!N20</x:f>
        <x:v>0</x:v>
      </x:c>
      <x:c r="N63" s="76" t="n">
        <x:f>'Monthly'!P20</x:f>
        <x:v>0</x:v>
      </x:c>
    </x:row>
    <x:row r="64">
      <x:c r="J64" s="74" t="str">
        <x:f>TEXT('Monthly'!C21,"mmm-yy")</x:f>
        <x:v>Jan-22</x:v>
      </x:c>
      <x:c r="K64" s="75" t="n">
        <x:f>'Monthly'!K21</x:f>
        <x:v>108179.02701653322</x:v>
      </x:c>
      <x:c r="L64" s="75" t="n">
        <x:f>'Monthly'!L21</x:f>
        <x:v>111309.04952792695</x:v>
      </x:c>
      <x:c r="M64" s="76" t="n">
        <x:f>'Monthly'!N21</x:f>
        <x:v>-0.03672999999999993</x:v>
      </x:c>
      <x:c r="N64" s="76" t="n">
        <x:f>'Monthly'!P21</x:f>
        <x:v>-0.03939999999999999</x:v>
      </x:c>
    </x:row>
    <x:row r="65">
      <x:c r="J65" s="74" t="str">
        <x:f>TEXT('Monthly'!C22,"mmm-yy")</x:f>
        <x:v>Feb-22</x:v>
      </x:c>
      <x:c r="K65" s="75" t="n">
        <x:f>'Monthly'!K22</x:f>
        <x:v>106612.99390095854</x:v>
      </x:c>
      <x:c r="L65" s="75" t="n">
        <x:f>'Monthly'!L22</x:f>
        <x:v>108823.02969330615</x:v>
      </x:c>
      <x:c r="M65" s="76" t="n">
        <x:f>'Monthly'!N22</x:f>
        <x:v>-0.050674595000000044</x:v>
      </x:c>
      <x:c r="N65" s="76" t="n">
        <x:f>'Monthly'!P22</x:f>
        <x:v>-0.06085441599999997</x:v>
      </x:c>
    </x:row>
    <x:row r="66">
      <x:c r="J66" s="74" t="str">
        <x:f>TEXT('Monthly'!C23,"mmm-yy")</x:f>
        <x:v>Mar-22</x:v>
      </x:c>
      <x:c r="K66" s="75" t="n">
        <x:f>'Monthly'!K23</x:f>
        <x:v>107392.95726655566</x:v>
      </x:c>
      <x:c r="L66" s="75" t="n">
        <x:f>'Monthly'!L23</x:f>
        <x:v>109952.30818639192</x:v>
      </x:c>
      <x:c r="M66" s="76" t="n">
        <x:f>'Monthly'!N23</x:f>
        <x:v>-0.04372948436349999</x:v>
      </x:c>
      <x:c r="N66" s="76" t="n">
        <x:f>'Monthly'!P23</x:f>
        <x:v>-0.0511087131568001</x:v>
      </x:c>
    </x:row>
    <x:row r="67">
      <x:c r="J67" s="74" t="str">
        <x:f>TEXT('Monthly'!C24,"mmm-yy")</x:f>
        <x:v>Apr-22</x:v>
      </x:c>
      <x:c r="K67" s="75" t="n">
        <x:f>'Monthly'!K24</x:f>
        <x:v>100866.68725346708</x:v>
      </x:c>
      <x:c r="L67" s="75" t="n">
        <x:f>'Monthly'!L24</x:f>
        <x:v>102537.12452230166</x:v>
      </x:c>
      <x:c r="M67" s="76" t="n">
        <x:f>'Monthly'!N24</x:f>
        <x:v>-0.10184204359873006</x:v>
      </x:c>
      <x:c r="N67" s="76" t="n">
        <x:f>'Monthly'!P24</x:f>
        <x:v>-0.11510194154150544</x:v>
      </x:c>
    </x:row>
    <x:row r="68">
      <x:c r="J68" s="74" t="str">
        <x:f>TEXT('Monthly'!C25,"mmm-yy")</x:f>
        <x:v>May-22</x:v>
      </x:c>
      <x:c r="K68" s="75" t="n">
        <x:f>'Monthly'!K25</x:f>
        <x:v>101080.66127724326</x:v>
      </x:c>
      <x:c r="L68" s="75" t="n">
        <x:f>'Monthly'!L25</x:f>
        <x:v>102920.58803500325</x:v>
      </x:c>
      <x:c r="M68" s="76" t="n">
        <x:f>'Monthly'!N25</x:f>
        <x:v>-0.09993673197255526</x:v>
      </x:c>
      <x:c r="N68" s="76" t="n">
        <x:f>'Monthly'!P25</x:f>
        <x:v>-0.11179264142742318</x:v>
      </x:c>
    </x:row>
    <x:row r="69">
      <x:c r="J69" s="74" t="str">
        <x:f>TEXT('Monthly'!C26,"mmm-yy")</x:f>
        <x:v>Jun-22</x:v>
      </x:c>
      <x:c r="K69" s="75" t="n">
        <x:f>'Monthly'!K26</x:f>
        <x:v>95355.48312648169</x:v>
      </x:c>
      <x:c r="L69" s="75" t="n">
        <x:f>'Monthly'!L26</x:f>
        <x:v>97273.11291894736</x:v>
      </x:c>
      <x:c r="M69" s="76" t="n">
        <x:f>'Monthly'!N26</x:f>
        <x:v>-0.15091604385378754</x:v>
      </x:c>
      <x:c r="N69" s="76" t="n">
        <x:f>'Monthly'!P26</x:f>
        <x:v>-0.1605304989465658</x:v>
      </x:c>
    </x:row>
    <x:row r="70">
      <x:c r="J70" s="74" t="str">
        <x:f>TEXT('Monthly'!C27,"mmm-yy")</x:f>
        <x:v>Jul-22</x:v>
      </x:c>
      <x:c r="K70" s="75" t="n">
        <x:f>'Monthly'!K27</x:f>
        <x:v>100260.56917850793</x:v>
      </x:c>
      <x:c r="L70" s="75" t="n">
        <x:f>'Monthly'!L27</x:f>
        <x:v>103595.86525867894</x:v>
      </x:c>
      <x:c r="M70" s="76" t="n">
        <x:f>'Monthly'!N27</x:f>
        <x:v>-0.10723916514962617</x:v>
      </x:c>
      <x:c r="N70" s="76" t="n">
        <x:f>'Monthly'!P27</x:f>
        <x:v>-0.10596498137809263</x:v>
      </x:c>
    </x:row>
    <x:row r="71">
      <x:c r="J71" s="74" t="str">
        <x:f>TEXT('Monthly'!C28,"mmm-yy")</x:f>
        <x:v>Aug-22</x:v>
      </x:c>
      <x:c r="K71" s="75" t="n">
        <x:f>'Monthly'!K28</x:f>
        <x:v>96370.29799716696</x:v>
      </x:c>
      <x:c r="L71" s="75" t="n">
        <x:f>'Monthly'!L28</x:f>
        <x:v>99882.5809826765</x:v>
      </x:c>
      <x:c r="M71" s="76" t="n">
        <x:f>'Monthly'!N28</x:f>
        <x:v>-0.14187972001686122</x:v>
      </x:c>
      <x:c r="N71" s="76" t="n">
        <x:f>'Monthly'!P28</x:f>
        <x:v>-0.13801072151023697</x:v>
      </x:c>
    </x:row>
    <x:row r="72">
      <x:c r="J72" s="74" t="str">
        <x:f>TEXT('Monthly'!C29,"mmm-yy")</x:f>
        <x:v>Sep-22</x:v>
      </x:c>
      <x:c r="K72" s="75" t="n">
        <x:f>'Monthly'!K29</x:f>
        <x:v>89401.19005787776</x:v>
      </x:c>
      <x:c r="L72" s="75" t="n">
        <x:f>'Monthly'!L29</x:f>
        <x:v>92579.59087124285</x:v>
      </x:c>
      <x:c r="M72" s="76" t="n">
        <x:f>'Monthly'!N29</x:f>
        <x:v>-0.2039354880323484</x:v>
      </x:c>
      <x:c r="N72" s="76" t="n">
        <x:f>'Monthly'!P29</x:f>
        <x:v>-0.20103571660987685</x:v>
      </x:c>
    </x:row>
    <x:row r="73">
      <x:c r="J73" s="74" t="str">
        <x:f>TEXT('Monthly'!C30,"mmm-yy")</x:f>
        <x:v>Oct-22</x:v>
      </x:c>
      <x:c r="K73" s="75" t="n">
        <x:f>'Monthly'!K30</x:f>
        <x:v>92792.35135029131</x:v>
      </x:c>
      <x:c r="L73" s="75" t="n">
        <x:f>'Monthly'!L30</x:f>
        <x:v>96593.6495510301</x:v>
      </x:c>
      <x:c r="M73" s="76" t="n">
        <x:f>'Monthly'!N30</x:f>
        <x:v>-0.17373921035974582</x:v>
      </x:c>
      <x:c r="N73" s="76" t="n">
        <x:f>'Monthly'!P30</x:f>
        <x:v>-0.16639428552986202</x:v>
      </x:c>
    </x:row>
    <x:row r="74">
      <x:c r="J74" s="74" t="str">
        <x:f>TEXT('Monthly'!C31,"mmm-yy")</x:f>
        <x:v>Nov-22</x:v>
      </x:c>
      <x:c r="K74" s="75" t="n">
        <x:f>'Monthly'!K31</x:f>
        <x:v>99095.88056013698</x:v>
      </x:c>
      <x:c r="L74" s="75" t="n">
        <x:f>'Monthly'!L31</x:f>
        <x:v>101295.82000538814</x:v>
      </x:c>
      <x:c r="M74" s="76" t="n">
        <x:f>'Monthly'!N31</x:f>
        <x:v>-0.11761002571621937</x:v>
      </x:c>
      <x:c r="N74" s="76" t="n">
        <x:f>'Monthly'!P31</x:f>
        <x:v>-0.125814431891609</x:v>
      </x:c>
    </x:row>
    <x:row r="75">
      <x:c r="J75" s="74" t="str">
        <x:f>TEXT('Monthly'!C32,"mmm-yy")</x:f>
        <x:v>Dec-22</x:v>
      </x:c>
      <x:c r="K75" s="75" t="n">
        <x:f>'Monthly'!K32</x:f>
        <x:v>96511.9520389497</x:v>
      </x:c>
      <x:c r="L75" s="75" t="n">
        <x:f>'Monthly'!L32</x:f>
        <x:v>97400.09866933733</x:v>
      </x:c>
      <x:c r="M75" s="76" t="n">
        <x:f>'Monthly'!N32</x:f>
        <x:v>-0.14061837488748397</x:v>
      </x:c>
      <x:c r="N75" s="76" t="n">
        <x:f>'Monthly'!P32</x:f>
        <x:v>-0.15943460860932956</x:v>
      </x:c>
    </x:row>
    <x:row r="76">
      <x:c r="J76" s="74" t="str">
        <x:f>TEXT('Monthly'!C33,"mmm-yy")</x:f>
        <x:v>Jan-23</x:v>
      </x:c>
      <x:c r="K76" s="75" t="n">
        <x:f>'Monthly'!K33</x:f>
        <x:v>102108.37477387216</x:v>
      </x:c>
      <x:c r="L76" s="75" t="n">
        <x:f>'Monthly'!L33</x:f>
        <x:v>102337.04221021509</x:v>
      </x:c>
      <x:c r="M76" s="76" t="n">
        <x:f>'Monthly'!N33</x:f>
        <x:v>-0.09078555353067097</x:v>
      </x:c>
      <x:c r="N76" s="76" t="n">
        <x:f>'Monthly'!P33</x:f>
        <x:v>-0.11682865711230128</x:v>
      </x:c>
    </x:row>
    <x:row r="77">
      <x:c r="J77" s="74" t="str">
        <x:f>TEXT('Monthly'!C34,"mmm-yy")</x:f>
        <x:v>Feb-23</x:v>
      </x:c>
      <x:c r="K77" s="75" t="n">
        <x:f>'Monthly'!K34</x:f>
        <x:v>99176.84099617417</x:v>
      </x:c>
      <x:c r="L77" s="75" t="n">
        <x:f>'Monthly'!L34</x:f>
        <x:v>99783.23519111626</x:v>
      </x:c>
      <x:c r="M77" s="76" t="n">
        <x:f>'Monthly'!N34</x:f>
        <x:v>-0.11688912110677385</x:v>
      </x:c>
      <x:c r="N77" s="76" t="n">
        <x:f>'Monthly'!P34</x:f>
        <x:v>-0.13886807828201353</x:v>
      </x:c>
    </x:row>
    <x:row r="78">
      <x:c r="J78" s="74" t="str">
        <x:f>TEXT('Monthly'!C35,"mmm-yy")</x:f>
        <x:v>Mar-23</x:v>
      </x:c>
      <x:c r="K78" s="75" t="n">
        <x:f>'Monthly'!K35</x:f>
        <x:v>102769.6520410675</x:v>
      </x:c>
      <x:c r="L78" s="75" t="n">
        <x:f>'Monthly'!L35</x:f>
        <x:v>103002.43399382588</x:v>
      </x:c>
      <x:c r="M78" s="76" t="n">
        <x:f>'Monthly'!N35</x:f>
        <x:v>-0.08489727212586684</x:v>
      </x:c>
      <x:c r="N78" s="76" t="n">
        <x:f>'Monthly'!P35</x:f>
        <x:v>-0.11108630866851044</x:v>
      </x:c>
    </x:row>
    <x:row r="79">
      <x:c r="J79" s="74" t="str">
        <x:f>TEXT('Monthly'!C36,"mmm-yy")</x:f>
        <x:v>Apr-23</x:v>
      </x:c>
      <x:c r="K79" s="75" t="n">
        <x:f>'Monthly'!K36</x:f>
        <x:v>104160.79384700004</x:v>
      </x:c>
      <x:c r="L79" s="75" t="n">
        <x:f>'Monthly'!L36</x:f>
        <x:v>104209.85489372461</x:v>
      </x:c>
      <x:c r="M79" s="76" t="n">
        <x:f>'Monthly'!N36</x:f>
        <x:v>-0.07250998038958756</x:v>
      </x:c>
      <x:c r="N79" s="76" t="n">
        <x:f>'Monthly'!P36</x:f>
        <x:v>-0.1006662348168178</x:v>
      </x:c>
    </x:row>
    <x:row r="80">
      <x:c r="J80" s="74" t="str">
        <x:f>TEXT('Monthly'!C37,"mmm-yy")</x:f>
        <x:v>May-23</x:v>
      </x:c>
      <x:c r="K80" s="75" t="n">
        <x:f>'Monthly'!K37</x:f>
        <x:v>103085.85224646352</x:v>
      </x:c>
      <x:c r="L80" s="75" t="n">
        <x:f>'Monthly'!L37</x:f>
        <x:v>104032.51224937357</x:v>
      </x:c>
      <x:c r="M80" s="76" t="n">
        <x:f>'Monthly'!N37</x:f>
        <x:v>-0.08208169705321178</x:v>
      </x:c>
      <x:c r="N80" s="76" t="n">
        <x:f>'Monthly'!P37</x:f>
        <x:v>-0.10219670646208023</x:v>
      </x:c>
    </x:row>
    <x:row r="81">
      <x:c r="J81" s="74" t="str">
        <x:f>TEXT('Monthly'!C38,"mmm-yy")</x:f>
        <x:v>Jun-23</x:v>
      </x:c>
      <x:c r="K81" s="75" t="n">
        <x:f>'Monthly'!K38</x:f>
        <x:v>106339.9178271312</x:v>
      </x:c>
      <x:c r="L81" s="75" t="n">
        <x:f>'Monthly'!L38</x:f>
        <x:v>108047.75945227081</x:v>
      </x:c>
      <x:c r="M81" s="76" t="n">
        <x:f>'Monthly'!N38</x:f>
        <x:v>-0.05310617528769712</x:v>
      </x:c>
      <x:c r="N81" s="76" t="n">
        <x:f>'Monthly'!P38</x:f>
        <x:v>-0.06754501839663352</x:v>
      </x:c>
    </x:row>
    <x:row r="82">
      <x:c r="J82" s="74" t="str">
        <x:f>TEXT('Monthly'!C39,"mmm-yy")</x:f>
        <x:v>Jul-23</x:v>
      </x:c>
      <x:c r="K82" s="75" t="n">
        <x:f>'Monthly'!K39</x:f>
        <x:v>108627.28478063642</x:v>
      </x:c>
      <x:c r="L82" s="75" t="n">
        <x:f>'Monthly'!L39</x:f>
        <x:v>110099.7953686362</x:v>
      </x:c>
      <x:c r="M82" s="76" t="n">
        <x:f>'Monthly'!N39</x:f>
        <x:v>-0.032738530781463715</x:v>
      </x:c>
      <x:c r="N82" s="76" t="n">
        <x:f>'Monthly'!P39</x:f>
        <x:v>-0.04983589492805118</x:v>
      </x:c>
    </x:row>
    <x:row r="83">
      <x:c r="J83" s="74" t="str">
        <x:f>TEXT('Monthly'!C40,"mmm-yy")</x:f>
        <x:v>Aug-23</x:v>
      </x:c>
      <x:c r="K83" s="75" t="n">
        <x:f>'Monthly'!K40</x:f>
        <x:v>106722.76874104346</x:v>
      </x:c>
      <x:c r="L83" s="75" t="n">
        <x:f>'Monthly'!L40</x:f>
        <x:v>108763.21893503648</x:v>
      </x:c>
      <x:c r="M83" s="76" t="n">
        <x:f>'Monthly'!N40</x:f>
        <x:v>-0.049697115232203215</x:v>
      </x:c>
      <x:c r="N83" s="76" t="n">
        <x:f>'Monthly'!P40</x:f>
        <x:v>-0.061370584403535156</x:v>
      </x:c>
    </x:row>
    <x:row r="84">
      <x:c r="J84" s="74" t="str">
        <x:f>TEXT('Monthly'!C41,"mmm-yy")</x:f>
        <x:v>Sep-23</x:v>
      </x:c>
      <x:c r="K84" s="75" t="n">
        <x:f>'Monthly'!K41</x:f>
        <x:v>102676.96944775904</x:v>
      </x:c>
      <x:c r="L84" s="75" t="n">
        <x:f>'Monthly'!L41</x:f>
        <x:v>104537.34436541641</x:v>
      </x:c>
      <x:c r="M84" s="76" t="n">
        <x:f>'Monthly'!N41</x:f>
        <x:v>-0.08572255558531772</x:v>
      </x:c>
      <x:c r="N84" s="76" t="n">
        <x:f>'Monthly'!P41</x:f>
        <x:v>-0.09783999213626893</x:v>
      </x:c>
    </x:row>
    <x:row r="85">
      <x:c r="J85" s="74" t="str">
        <x:f>TEXT('Monthly'!C42,"mmm-yy")</x:f>
        <x:v>Oct-23</x:v>
      </x:c>
      <x:c r="K85" s="75" t="n">
        <x:f>'Monthly'!K42</x:f>
        <x:v>101338.92589553513</x:v>
      </x:c>
      <x:c r="L85" s="75" t="n">
        <x:f>'Monthly'!L42</x:f>
        <x:v>102561.07883281892</x:v>
      </x:c>
      <x:c r="M85" s="76" t="n">
        <x:f>'Monthly'!N42</x:f>
        <x:v>-0.0976370389015131</x:v>
      </x:c>
      <x:c r="N85" s="76" t="n">
        <x:f>'Monthly'!P42</x:f>
        <x:v>-0.11489521521709178</x:v>
      </x:c>
    </x:row>
    <x:row r="86">
      <x:c r="J86" s="74" t="str">
        <x:f>TEXT('Monthly'!C43,"mmm-yy")</x:f>
        <x:v>Nov-23</x:v>
      </x:c>
      <x:c r="K86" s="75" t="n">
        <x:f>'Monthly'!K43</x:f>
        <x:v>108302.11130911988</x:v>
      </x:c>
      <x:c r="L86" s="75" t="n">
        <x:f>'Monthly'!L43</x:f>
        <x:v>110023.75244108813</x:v>
      </x:c>
      <x:c r="M86" s="76" t="n">
        <x:f>'Monthly'!N43</x:f>
        <x:v>-0.03563400746068979</x:v>
      </x:c>
      <x:c r="N86" s="76" t="n">
        <x:f>'Monthly'!P43</x:f>
        <x:v>-0.05049214737574059</x:v>
      </x:c>
    </x:row>
    <x:row r="87">
      <x:c r="J87" s="74" t="str">
        <x:f>TEXT('Monthly'!C44,"mmm-yy")</x:f>
        <x:v>Dec-23</x:v>
      </x:c>
      <x:c r="K87" s="75" t="n">
        <x:f>'Monthly'!K44</x:f>
        <x:v>112830.02157921047</x:v>
      </x:c>
      <x:c r="L87" s="75" t="n">
        <x:f>'Monthly'!L44</x:f>
        <x:v>114662.27928673144</x:v>
      </x:c>
      <x:c r="M87" s="76" t="n">
        <x:f>'Monthly'!N44</x:f>
        <x:v>0</x:v>
      </x:c>
      <x:c r="N87" s="76" t="n">
        <x:f>'Monthly'!P44</x:f>
        <x:v>-0.01046153974031172</x:v>
      </x:c>
    </x:row>
    <x:row r="88">
      <x:c r="J88" s="74" t="str">
        <x:f>TEXT('Monthly'!C45,"mmm-yy")</x:f>
        <x:v>Jan-24</x:v>
      </x:c>
      <x:c r="K88" s="75" t="n">
        <x:f>'Monthly'!K45</x:f>
        <x:v>113305.6836143828</x:v>
      </x:c>
      <x:c r="L88" s="75" t="n">
        <x:f>'Monthly'!L45</x:f>
        <x:v>115738.68404638633</x:v>
      </x:c>
      <x:c r="M88" s="76" t="n">
        <x:f>'Monthly'!N45</x:f>
        <x:v>0</x:v>
      </x:c>
      <x:c r="N88" s="76" t="n">
        <x:f>'Monthly'!P45</x:f>
        <x:v>-0.001172138595393446</x:v>
      </x:c>
    </x:row>
    <x:row r="89">
      <x:c r="J89" s="74" t="str">
        <x:f>TEXT('Monthly'!C46,"mmm-yy")</x:f>
        <x:v>Feb-24</x:v>
      </x:c>
      <x:c r="K89" s="75" t="n">
        <x:f>'Monthly'!K46</x:f>
        <x:v>115860.32318627881</x:v>
      </x:c>
      <x:c r="L89" s="75" t="n">
        <x:f>'Monthly'!L46</x:f>
        <x:v>118824.94509249897</x:v>
      </x:c>
      <x:c r="M89" s="76" t="n">
        <x:f>'Monthly'!N46</x:f>
        <x:v>0</x:v>
      </x:c>
      <x:c r="N89" s="76" t="n">
        <x:f>'Monthly'!P46</x:f>
        <x:v>0</x:v>
      </x:c>
    </x:row>
    <x:row r="90">
      <x:c r="J90" s="74" t="str">
        <x:f>TEXT('Monthly'!C47,"mmm-yy")</x:f>
        <x:v>Mar-24</x:v>
      </x:c>
      <x:c r="K90" s="75" t="n">
        <x:f>'Monthly'!K47</x:f>
        <x:v>119365.98460804233</x:v>
      </x:c>
      <x:c r="L90" s="75" t="n">
        <x:f>'Monthly'!L47</x:f>
        <x:v>121574.15211274495</x:v>
      </x:c>
      <x:c r="M90" s="76" t="n">
        <x:f>'Monthly'!N47</x:f>
        <x:v>0</x:v>
      </x:c>
      <x:c r="N90" s="76" t="n">
        <x:f>'Monthly'!P47</x:f>
        <x:v>0</x:v>
      </x:c>
    </x:row>
    <x:row r="91">
      <x:c r="J91" s="74" t="str">
        <x:f>TEXT('Monthly'!C48,"mmm-yy")</x:f>
        <x:v>Apr-24</x:v>
      </x:c>
      <x:c r="K91" s="75" t="n">
        <x:f>'Monthly'!K48</x:f>
        <x:v>116272.13335581105</x:v>
      </x:c>
      <x:c r="L91" s="75" t="n">
        <x:f>'Monthly'!L48</x:f>
        <x:v>117407.79935483699</x:v>
      </x:c>
      <x:c r="M91" s="76" t="n">
        <x:f>'Monthly'!N48</x:f>
        <x:v>-0.025919035999999895</x:v>
      </x:c>
      <x:c r="N91" s="76" t="n">
        <x:f>'Monthly'!P48</x:f>
        <x:v>-0.03427005399999983</x:v>
      </x:c>
    </x:row>
    <x:row r="92">
      <x:c r="J92" s="74" t="str">
        <x:f>TEXT('Monthly'!C49,"mmm-yy")</x:f>
        <x:v>May-24</x:v>
      </x:c>
      <x:c r="K92" s="75" t="n">
        <x:f>'Monthly'!K49</x:f>
        <x:v>120567.91339945505</x:v>
      </x:c>
      <x:c r="L92" s="75" t="n">
        <x:f>'Monthly'!L49</x:f>
        <x:v>121678.13958332108</x:v>
      </x:c>
      <x:c r="M92" s="76" t="n">
        <x:f>'Monthly'!N49</x:f>
        <x:v>0</x:v>
      </x:c>
      <x:c r="N92" s="76" t="n">
        <x:f>'Monthly'!P49</x:f>
        <x:v>0</x:v>
      </x:c>
    </x:row>
    <x:row r="93">
      <x:c r="J93" s="74" t="str">
        <x:f>TEXT('Monthly'!C50,"mmm-yy")</x:f>
        <x:v>Jun-24</x:v>
      </x:c>
      <x:c r="K93" s="75" t="n">
        <x:f>'Monthly'!K50</x:f>
        <x:v>121960.65463726225</x:v>
      </x:c>
      <x:c r="L93" s="75" t="n">
        <x:f>'Monthly'!L50</x:f>
        <x:v>124762.12722376261</x:v>
      </x:c>
      <x:c r="M93" s="76" t="n">
        <x:f>'Monthly'!N50</x:f>
        <x:v>0</x:v>
      </x:c>
      <x:c r="N93" s="76" t="n">
        <x:f>'Monthly'!P50</x:f>
        <x:v>0</x:v>
      </x:c>
    </x:row>
    <x:row r="94">
      <x:c r="J94" s="74" t="str">
        <x:f>TEXT('Monthly'!C51,"mmm-yy")</x:f>
        <x:v>Jul-24</x:v>
      </x:c>
      <x:c r="K94" s="75" t="n">
        <x:f>'Monthly'!K51</x:f>
        <x:v>124719.84906978265</x:v>
      </x:c>
      <x:c r="L94" s="75" t="n">
        <x:f>'Monthly'!L51</x:f>
        <x:v>126845.08907691462</x:v>
      </x:c>
      <x:c r="M94" s="76" t="n">
        <x:f>'Monthly'!N51</x:f>
        <x:v>0</x:v>
      </x:c>
      <x:c r="N94" s="76" t="n">
        <x:f>'Monthly'!P51</x:f>
        <x:v>0</x:v>
      </x:c>
    </x:row>
    <x:row r="95">
      <x:c r="J95" s="74" t="str">
        <x:f>TEXT('Monthly'!C52,"mmm-yy")</x:f>
        <x:v>Aug-24</x:v>
      </x:c>
      <x:c r="K95" s="75" t="n">
        <x:f>'Monthly'!K52</x:f>
        <x:v>127723.71267950587</x:v>
      </x:c>
      <x:c r="L95" s="75" t="n">
        <x:f>'Monthly'!L52</x:f>
        <x:v>129414.78650416722</x:v>
      </x:c>
      <x:c r="M95" s="76" t="n">
        <x:f>'Monthly'!N52</x:f>
        <x:v>0</x:v>
      </x:c>
      <x:c r="N95" s="76" t="n">
        <x:f>'Monthly'!P52</x:f>
        <x:v>0</x:v>
      </x:c>
    </x:row>
    <x:row r="96">
      <x:c r="J96" s="74" t="str">
        <x:f>TEXT('Monthly'!C53,"mmm-yy")</x:f>
        <x:v>Sep-24</x:v>
      </x:c>
      <x:c r="K96" s="75" t="n">
        <x:f>'Monthly'!K53</x:f>
        <x:v>130168.35672935053</x:v>
      </x:c>
      <x:c r="L96" s="75" t="n">
        <x:f>'Monthly'!L53</x:f>
        <x:v>131764.64315002554</x:v>
      </x:c>
      <x:c r="M96" s="76" t="n">
        <x:f>'Monthly'!N53</x:f>
        <x:v>0</x:v>
      </x:c>
      <x:c r="N96" s="76" t="n">
        <x:f>'Monthly'!P53</x:f>
        <x:v>0</x:v>
      </x:c>
    </x:row>
    <x:row r="97">
      <x:c r="J97" s="74" t="str">
        <x:f>TEXT('Monthly'!C54,"mmm-yy")</x:f>
        <x:v>Oct-24</x:v>
      </x:c>
      <x:c r="K97" s="75" t="n">
        <x:f>'Monthly'!K54</x:f>
        <x:v>127778.77497981525</x:v>
      </x:c>
      <x:c r="L97" s="75" t="n">
        <x:f>'Monthly'!L54</x:f>
        <x:v>129738.3749006016</x:v>
      </x:c>
      <x:c r="M97" s="76" t="n">
        <x:f>'Monthly'!N54</x:f>
        <x:v>-0.01835762399999996</x:v>
      </x:c>
      <x:c r="N97" s="76" t="n">
        <x:f>'Monthly'!P54</x:f>
        <x:v>-0.015377936000000036</x:v>
      </x:c>
    </x:row>
    <x:row r="98">
      <x:c r="J98" s="74" t="str">
        <x:f>TEXT('Monthly'!C55,"mmm-yy")</x:f>
        <x:v>Nov-24</x:v>
      </x:c>
      <x:c r="K98" s="75" t="n">
        <x:f>'Monthly'!K55</x:f>
        <x:v>130797.38370039116</x:v>
      </x:c>
      <x:c r="L98" s="75" t="n">
        <x:f>'Monthly'!L55</x:f>
        <x:v>134914.7499409495</x:v>
      </x:c>
      <x:c r="M98" s="76" t="n">
        <x:f>'Monthly'!N55</x:f>
        <x:v>0</x:v>
      </x:c>
      <x:c r="N98" s="76" t="n">
        <x:f>'Monthly'!P55</x:f>
        <x:v>0</x:v>
      </x:c>
    </x:row>
    <x:row r="99">
      <x:c r="J99" s="74" t="str">
        <x:f>TEXT('Monthly'!C56,"mmm-yy")</x:f>
        <x:v>Dec-24</x:v>
      </x:c>
      <x:c r="K99" s="75" t="n">
        <x:f>'Monthly'!K56</x:f>
        <x:v>127934.60938676745</x:v>
      </x:c>
      <x:c r="L99" s="75" t="n">
        <x:f>'Monthly'!L56</x:f>
        <x:v>132057.53886005405</x:v>
      </x:c>
      <x:c r="M99" s="76" t="n">
        <x:f>'Monthly'!N56</x:f>
        <x:v>-0.021887091565847228</x:v>
      </x:c>
      <x:c r="N99" s="76" t="n">
        <x:f>'Monthly'!P56</x:f>
        <x:v>-0.02117789998607278</x:v>
      </x:c>
    </x:row>
    <x:row r="100">
      <x:c r="J100" s="74" t="str">
        <x:f>TEXT('Monthly'!C57,"mmm-yy")</x:f>
        <x:v>Jan-25</x:v>
      </x:c>
      <x:c r="K100" s="75" t="n">
        <x:f>'Monthly'!K57</x:f>
        <x:v>131741.20338833696</x:v>
      </x:c>
      <x:c r="L100" s="75" t="n">
        <x:f>'Monthly'!L57</x:f>
        <x:v>134529.50068784857</x:v>
      </x:c>
      <x:c r="M100" s="76" t="n">
        <x:f>'Monthly'!N57</x:f>
        <x:v>0</x:v>
      </x:c>
      <x:c r="N100" s="76" t="n">
        <x:f>'Monthly'!P57</x:f>
        <x:v>-0.0028555013686015762</x:v>
      </x:c>
    </x:row>
    <x:row r="101">
      <x:c r="J101" s="74" t="str">
        <x:f>TEXT('Monthly'!C58,"mmm-yy")</x:f>
        <x:v>Feb-25</x:v>
      </x:c>
      <x:c r="K101" s="75" t="n">
        <x:f>'Monthly'!K58</x:f>
        <x:v>132742.28547634062</x:v>
      </x:c>
      <x:c r="L101" s="75" t="n">
        <x:f>'Monthly'!L58</x:f>
        <x:v>134630.27712025115</x:v>
      </x:c>
      <x:c r="M101" s="76" t="n">
        <x:f>'Monthly'!N58</x:f>
        <x:v>0</x:v>
      </x:c>
      <x:c r="N101" s="76" t="n">
        <x:f>'Monthly'!P58</x:f>
        <x:v>-0.002108537582605652</x:v>
      </x:c>
    </x:row>
    <x:row r="102">
      <x:c r="J102" s="74" t="str">
        <x:f>TEXT('Monthly'!C59,"mmm-yy")</x:f>
        <x:v>Mar-25</x:v>
      </x:c>
      <x:c r="K102" s="75" t="n">
        <x:f>'Monthly'!K59</x:f>
        <x:v>131197.59795157885</x:v>
      </x:c>
      <x:c r="L102" s="75" t="n">
        <x:f>'Monthly'!L59</x:f>
        <x:v>130125.55321408849</x:v>
      </x:c>
      <x:c r="M102" s="76" t="n">
        <x:f>'Monthly'!N59</x:f>
        <x:v>-0.011636740464567974</x:v>
      </x:c>
      <x:c r="N102" s="76" t="n">
        <x:f>'Monthly'!P59</x:f>
        <x:v>-0.03549794762216274</x:v>
      </x:c>
    </x:row>
    <x:row r="103">
      <x:c r="J103" s="74" t="str">
        <x:f>TEXT('Monthly'!C60,"mmm-yy")</x:f>
        <x:v>Apr-25</x:v>
      </x:c>
      <x:c r="K103" s="75" t="n">
        <x:f>'Monthly'!K60</x:f>
        <x:v>132885.9892858448</x:v>
      </x:c>
      <x:c r="L103" s="75" t="n">
        <x:f>'Monthly'!L60</x:f>
        <x:v>129797.45568521891</x:v>
      </x:c>
      <x:c r="M103" s="76" t="n">
        <x:f>'Monthly'!N60</x:f>
        <x:v>0</x:v>
      </x:c>
      <x:c r="N103" s="76" t="n">
        <x:f>'Monthly'!P60</x:f>
        <x:v>-0.0379298353810118</x:v>
      </x:c>
    </x:row>
    <x:row r="104">
      <x:c r="J104" s="74" t="str">
        <x:f>TEXT('Monthly'!C61,"mmm-yy")</x:f>
        <x:v>May-25</x:v>
      </x:c>
      <x:c r="K104" s="75" t="n">
        <x:f>'Monthly'!K61</x:f>
        <x:v>137074.07829738987</x:v>
      </x:c>
      <x:c r="L104" s="75" t="n">
        <x:f>'Monthly'!L61</x:f>
        <x:v>134300.57888543824</x:v>
      </x:c>
      <x:c r="M104" s="76" t="n">
        <x:f>'Monthly'!N61</x:f>
        <x:v>0</x:v>
      </x:c>
      <x:c r="N104" s="76" t="n">
        <x:f>'Monthly'!P61</x:f>
        <x:v>-0.004552289914779961</x:v>
      </x:c>
    </x:row>
    <x:row r="105">
      <x:c r="J105" s="74" t="str">
        <x:f>TEXT('Monthly'!C62,"mmm-yy")</x:f>
        <x:v>Jun-25</x:v>
      </x:c>
      <x:c r="K105" s="75" t="n">
        <x:f>'Monthly'!K62</x:f>
        <x:v>141350.03252973256</x:v>
      </x:c>
      <x:c r="L105" s="75" t="n">
        <x:f>'Monthly'!L62</x:f>
        <x:v>139289.95157599763</x:v>
      </x:c>
      <x:c r="M105" s="76" t="n">
        <x:f>'Monthly'!N62</x:f>
        <x:v>0</x:v>
      </x:c>
      <x:c r="N105" s="76" t="n">
        <x:f>'Monthly'!P62</x:f>
        <x:v>0</x:v>
      </x:c>
    </x:row>
    <x:row r="106">
      <x:c r="J106" s="74" t="str">
        <x:f>TEXT('Monthly'!C63,"mmm-yy")</x:f>
        <x:v>Jul-25</x:v>
      </x:c>
      <x:c r="K106" s="75" t="n">
        <x:f>'Monthly'!K63</x:f>
        <x:v>141908.62241528422</x:v>
      </x:c>
      <x:c r="L106" s="75" t="n">
        <x:f>'Monthly'!L63</x:f>
        <x:v>141022.05416053403</x:v>
      </x:c>
      <x:c r="M106" s="76" t="n">
        <x:f>'Monthly'!N63</x:f>
        <x:v>0</x:v>
      </x:c>
      <x:c r="N106" s="76" t="n">
        <x:f>'Monthly'!P63</x:f>
        <x:v>0</x:v>
      </x:c>
    </x:row>
    <x:row r="107">
      <x:c r="J107" s="74" t="str">
        <x:f>TEXT('Monthly'!C64,"mmm-yy")</x:f>
        <x:v>Aug-25</x:v>
      </x:c>
      <x:c r="K107" s="75" t="n">
        <x:f>'Monthly'!K64</x:f>
        <x:v>145467.3817700758</x:v>
      </x:c>
      <x:c r="L107" s="75" t="n">
        <x:f>'Monthly'!L64</x:f>
        <x:v>143408.6258675179</x:v>
      </x:c>
      <x:c r="M107" s="76" t="n">
        <x:f>'Monthly'!N64</x:f>
        <x:v>0</x:v>
      </x:c>
      <x:c r="N107" s="76" t="n">
        <x:f>'Monthly'!P64</x:f>
        <x:v>0</x:v>
      </x:c>
    </x:row>
    <x:row r="108">
      <x:c r="J108" s="74" t="str">
        <x:f>TEXT('Monthly'!C65,"mmm-yy")</x:f>
        <x:v>Sep-25</x:v>
      </x:c>
      <x:c r="K108" s="75" t="n">
        <x:f>'Monthly'!K65</x:f>
        <x:v>150476.59351896762</x:v>
      </x:c>
      <x:c r="L108" s="75" t="n">
        <x:f>'Monthly'!L65</x:f>
        <x:v>147209.469495281</x:v>
      </x:c>
      <x:c r="M108" s="76" t="n">
        <x:f>'Monthly'!N65</x:f>
        <x:v>0</x:v>
      </x:c>
      <x:c r="N108" s="76" t="n">
        <x:f>'Monthly'!P65</x:f>
        <x:v>0</x:v>
      </x:c>
    </x:row>
    <x:row r="109">
      <x:c r="J109" s="74" t="str">
        <x:f>TEXT('Monthly'!C66,"mmm-yy")</x:f>
        <x:v>Oct-25</x:v>
      </x:c>
      <x:c r="K109" s="75" t="n">
        <x:f>'Monthly'!K66</x:f>
        <x:v>153098.8413729817</x:v>
      </x:c>
      <x:c r="L109" s="75" t="n">
        <x:f>'Monthly'!L66</x:f>
        <x:v>149641.43264257704</x:v>
      </x:c>
      <x:c r="M109" s="76" t="n">
        <x:f>'Monthly'!N66</x:f>
        <x:v>0</x:v>
      </x:c>
      <x:c r="N109" s="76" t="n">
        <x:f>'Monthly'!P66</x:f>
        <x:v>0</x:v>
      </x:c>
    </x:row>
    <x:row r="110">
      <x:c r="J110" s="74" t="str">
        <x:f>TEXT('Monthly'!C67,"mmm-yy")</x:f>
        <x:v>Nov-25</x:v>
      </x:c>
      <x:c r="K110" s="75" t="n">
        <x:f>'Monthly'!K67</x:f>
        <x:v>154472.48531045453</x:v>
      </x:c>
      <x:c r="L110" s="75" t="n">
        <x:f>'Monthly'!L67</x:f>
        <x:v>150224.8798375117</x:v>
      </x:c>
      <x:c r="M110" s="76" t="n">
        <x:f>'Monthly'!N67</x:f>
        <x:v>0</x:v>
      </x:c>
      <x:c r="N110" s="76" t="n">
        <x:f>'Monthly'!P67</x:f>
        <x:v>0</x:v>
      </x:c>
    </x:row>
    <x:row r="111">
      <x:c r="J111" s="74" t="str">
        <x:f>TEXT('Monthly'!C68,"mmm-yy")</x:f>
        <x:v>Dec-25</x:v>
      </x:c>
      <x:c r="K111" s="75" t="n">
        <x:f>'Monthly'!K68</x:f>
        <x:v>155650.71251377332</x:v>
      </x:c>
      <x:c r="L111" s="75" t="n">
        <x:f>'Monthly'!L68</x:f>
        <x:v>150134.6439089864</x:v>
      </x:c>
      <x:c r="M111" s="76" t="n">
        <x:f>'Monthly'!N68</x:f>
        <x:v>0</x:v>
      </x:c>
      <x:c r="N111" s="76" t="n">
        <x:f>'Monthly'!P68</x:f>
        <x:v>-0.0006006723295294281</x:v>
      </x:c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O3"/>
    <x:mergeCell ref="C23:N23"/>
    <x:mergeCell ref="C42:N42"/>
    <x:mergeCell ref="C44:N44"/>
    <x:mergeCell ref="C46:N46"/>
  </x:mergeCells>
  <x:pageMargins left="0.7" right="0.7" top="0.75" bottom="0.75" header="0.3" footer="0.3"/>
  <x:drawing xmlns:r="http://schemas.openxmlformats.org/officeDocument/2006/relationships" r:id="R73e8c474e39c4294"/>
</x:worksheet>
</file>

<file path=xl/worksheets/sheet2.xml><?xml version="1.0" encoding="utf-8"?>
<x:worksheet xmlns:x="http://schemas.openxmlformats.org/spreadsheetml/2006/main">
  <x:sheetPr>
    <x:tabColor rgb="FF4B6580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4" hidden="0" customWidth="1"/>
    <x:col min="4" max="4" width="3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1" customHeight="1">
      <x:c r="A2" s="2"/>
      <x:c r="B2" s="2"/>
      <x:c r="C2" s="3" t="str">
        <x:v>Portfolio allocation and rebalancing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9" customHeight="1">
      <x:c r="A3" s="2"/>
      <x:c r="B3" s="2"/>
      <x:c r="C3" s="6" t="str">
        <x:v>Hypothetical historical portfolio. Editable weights and capital apply to the complete January 2021-December 2025 study.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3" customHeight="1">
      <x:c r="A7" s="2"/>
      <x:c r="B7" s="2"/>
      <x:c r="C7" s="11" t="str">
        <x:v>Fund</x:v>
      </x:c>
      <x:c r="D7" s="11" t="str">
        <x:v>Exposure</x:v>
      </x:c>
      <x:c r="E7" s="11" t="str">
        <x:v>Portfolio input</x:v>
      </x:c>
      <x:c r="F7" s="11" t="str">
        <x:v>Benchmark input</x:v>
      </x:c>
      <x:c r="G7" s="11" t="str">
        <x:v>Portfolio weight</x:v>
      </x:c>
      <x:c r="H7" s="11" t="str">
        <x:v>Benchmark weight</x:v>
      </x:c>
      <x:c r="I7" s="2"/>
      <x:c r="J7" s="2"/>
      <x:c r="K7" s="2"/>
      <x:c r="L7" s="2"/>
      <x:c r="M7" s="2"/>
      <x:c r="N7" s="2"/>
    </x:row>
    <x:row r="8" ht="22" customHeight="1">
      <x:c r="A8" s="2"/>
      <x:c r="B8" s="2"/>
      <x:c r="C8" s="2" t="str">
        <x:v>IVV</x:v>
      </x:c>
      <x:c r="D8" s="2" t="str">
        <x:v>U.S. large-cap equity</x:v>
      </x:c>
      <x:c r="E8" s="20" t="n">
        <x:v>0.4</x:v>
      </x:c>
      <x:c r="F8" s="20" t="n">
        <x:v>0.6</x:v>
      </x:c>
      <x:c r="G8" s="21" t="n">
        <x:f>IF(AND(COUNT(E$8:E$11)=4,MIN(E$8:E$11)&gt;=0,ABS(SUM(E$8:E$11)-1)&lt;0.0000000001),E8,NA())</x:f>
        <x:v>0.4</x:v>
      </x:c>
      <x:c r="H8" s="21" t="n">
        <x:f>IF(AND(COUNT(F$8:F$11)=4,MIN(F$8:F$11)&gt;=0,ABS(SUM(F$8:F$11)-1)&lt;0.0000000001),F8,NA())</x:f>
        <x:v>0.6</x:v>
      </x:c>
      <x:c r="I8" s="2"/>
      <x:c r="J8" s="2"/>
      <x:c r="K8" s="2"/>
      <x:c r="L8" s="2"/>
      <x:c r="M8" s="2"/>
      <x:c r="N8" s="2"/>
    </x:row>
    <x:row r="9" ht="22" customHeight="1">
      <x:c r="A9" s="2"/>
      <x:c r="B9" s="2"/>
      <x:c r="C9" s="2" t="str">
        <x:v>IEFA</x:v>
      </x:c>
      <x:c r="D9" s="2" t="str">
        <x:v>Developed ex-U.S./Canada equity</x:v>
      </x:c>
      <x:c r="E9" s="20" t="n">
        <x:v>0.2</x:v>
      </x:c>
      <x:c r="F9" s="20" t="n">
        <x:v>0</x:v>
      </x:c>
      <x:c r="G9" s="21" t="n">
        <x:f>IF(AND(COUNT(E$8:E$11)=4,MIN(E$8:E$11)&gt;=0,ABS(SUM(E$8:E$11)-1)&lt;0.0000000001),E9,NA())</x:f>
        <x:v>0.2</x:v>
      </x:c>
      <x:c r="H9" s="21" t="n">
        <x:f>IF(AND(COUNT(F$8:F$11)=4,MIN(F$8:F$11)&gt;=0,ABS(SUM(F$8:F$11)-1)&lt;0.0000000001),F9,NA())</x:f>
        <x:v>0</x:v>
      </x:c>
      <x:c r="I9" s="2"/>
      <x:c r="J9" s="2"/>
      <x:c r="K9" s="2"/>
      <x:c r="L9" s="2"/>
      <x:c r="M9" s="2"/>
      <x:c r="N9" s="2"/>
    </x:row>
    <x:row r="10" ht="22" customHeight="1">
      <x:c r="A10" s="2"/>
      <x:c r="B10" s="2"/>
      <x:c r="C10" s="2" t="str">
        <x:v>AGG</x:v>
      </x:c>
      <x:c r="D10" s="2" t="str">
        <x:v>U.S. investment-grade bonds</x:v>
      </x:c>
      <x:c r="E10" s="20" t="n">
        <x:v>0.3</x:v>
      </x:c>
      <x:c r="F10" s="20" t="n">
        <x:v>0.4</x:v>
      </x:c>
      <x:c r="G10" s="21" t="n">
        <x:f>IF(AND(COUNT(E$8:E$11)=4,MIN(E$8:E$11)&gt;=0,ABS(SUM(E$8:E$11)-1)&lt;0.0000000001),E10,NA())</x:f>
        <x:v>0.3</x:v>
      </x:c>
      <x:c r="H10" s="21" t="n">
        <x:f>IF(AND(COUNT(F$8:F$11)=4,MIN(F$8:F$11)&gt;=0,ABS(SUM(F$8:F$11)-1)&lt;0.0000000001),F10,NA())</x:f>
        <x:v>0.4</x:v>
      </x:c>
      <x:c r="I10" s="2"/>
      <x:c r="J10" s="2"/>
      <x:c r="K10" s="2"/>
      <x:c r="L10" s="2"/>
      <x:c r="M10" s="2"/>
      <x:c r="N10" s="2"/>
    </x:row>
    <x:row r="11" ht="22" customHeight="1">
      <x:c r="A11" s="2"/>
      <x:c r="B11" s="2"/>
      <x:c r="C11" s="2" t="str">
        <x:v>IAU</x:v>
      </x:c>
      <x:c r="D11" s="2" t="str">
        <x:v>Gold</x:v>
      </x:c>
      <x:c r="E11" s="20" t="n">
        <x:v>0.1</x:v>
      </x:c>
      <x:c r="F11" s="20" t="n">
        <x:v>0</x:v>
      </x:c>
      <x:c r="G11" s="21" t="n">
        <x:f>IF(AND(COUNT(E$8:E$11)=4,MIN(E$8:E$11)&gt;=0,ABS(SUM(E$8:E$11)-1)&lt;0.0000000001),E11,NA())</x:f>
        <x:v>0.1</x:v>
      </x:c>
      <x:c r="H11" s="21" t="n">
        <x:f>IF(AND(COUNT(F$8:F$11)=4,MIN(F$8:F$11)&gt;=0,ABS(SUM(F$8:F$11)-1)&lt;0.0000000001),F11,NA())</x:f>
        <x:v>0</x:v>
      </x:c>
      <x:c r="I11" s="2"/>
      <x:c r="J11" s="2"/>
      <x:c r="K11" s="2"/>
      <x:c r="L11" s="2"/>
      <x:c r="M11" s="2"/>
      <x:c r="N11" s="2"/>
    </x:row>
    <x:row r="12" ht="22" customHeight="1">
      <x:c r="A12" s="2"/>
      <x:c r="B12" s="2"/>
      <x:c r="C12" s="27" t="str">
        <x:v>Total</x:v>
      </x:c>
      <x:c r="D12" s="27"/>
      <x:c r="E12" s="28" t="n">
        <x:f>SUM(E8:E11)</x:f>
        <x:v>1.0000000000000002</x:v>
      </x:c>
      <x:c r="F12" s="28" t="n">
        <x:f>SUM(F8:F11)</x:f>
        <x:v>1</x:v>
      </x:c>
      <x:c r="G12" s="28" t="n">
        <x:f>SUM(G8:G11)</x:f>
        <x:v>1.0000000000000002</x:v>
      </x:c>
      <x:c r="H12" s="28" t="n">
        <x:f>SUM(H8:H11)</x:f>
        <x:v>1</x:v>
      </x:c>
      <x:c r="I12" s="2"/>
      <x:c r="J12" s="2"/>
      <x:c r="K12" s="2"/>
      <x:c r="L12" s="2"/>
      <x:c r="M12" s="2"/>
      <x:c r="N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31" customHeight="1">
      <x:c r="A14" s="2"/>
      <x:c r="B14" s="2"/>
      <x:c r="C14" s="5" t="str">
        <x:v>Each allocation must total 100%. Zero weights are valid. Blank, negative or incomplete allocations expose unavailable calculations.</x:v>
      </x:c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 t="str">
        <x:v>Starting capital</x:v>
      </x:c>
      <x:c r="D16" s="32" t="n">
        <x:v>100000</x:v>
      </x:c>
      <x:c r="E16" s="2"/>
      <x:c r="F16" s="2" t="str">
        <x:v>Validated capital</x:v>
      </x:c>
      <x:c r="G16" s="30" t="n">
        <x:f>IF(AND(ISNUMBER(D16),D16&gt;0),D16,NA())</x:f>
        <x:v>100000</x:v>
      </x:c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 t="str">
        <x:v>Rebalance interval</x:v>
      </x:c>
      <x:c r="D17" s="18" t="n">
        <x:v>3</x:v>
      </x:c>
      <x:c r="E17" s="2"/>
      <x:c r="F17" s="2" t="str">
        <x:v>Validated interval</x:v>
      </x:c>
      <x:c r="G17" s="19" t="n">
        <x:f>IF(AND(ISNUMBER(D17),OR(D17=1,D17=3,D17=6,D17=12)),D17,NA())</x:f>
        <x:v>3</x:v>
      </x:c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6" customHeight="1">
      <x:c r="A19" s="2"/>
      <x:c r="B19" s="2"/>
      <x:c r="C19" s="5" t="str">
        <x:v>Interval is months: 1 monthly, 3 quarterly, 6 semiannual, 12 annual. All schedules start in January. The PDF and R results reflect the delivered quarterly settings.</x:v>
      </x:c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33" customHeight="1">
      <x:c r="A22" s="2"/>
      <x:c r="B22" s="2"/>
      <x:c r="C22" s="11" t="str">
        <x:v>31 Dec 2025</x:v>
      </x:c>
      <x:c r="D22" s="11" t="str">
        <x:v>Target weight</x:v>
      </x:c>
      <x:c r="E22" s="11" t="str">
        <x:v>Ending weight</x:v>
      </x:c>
      <x:c r="F22" s="11" t="str">
        <x:v>Drift (pp)</x:v>
      </x:c>
      <x:c r="G22" s="11" t="str">
        <x:v>Ending value</x:v>
      </x:c>
      <x:c r="H22" s="11" t="str">
        <x:v>Trade to target</x:v>
      </x:c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 t="str">
        <x:v>IVV</x:v>
      </x:c>
      <x:c r="D23" s="21" t="n">
        <x:f>G8</x:f>
        <x:v>0.4</x:v>
      </x:c>
      <x:c r="E23" s="34" t="n">
        <x:f>'Holdings'!H67/'Holdings'!L67</x:f>
        <x:v>0.3969298789585822</x:v>
      </x:c>
      <x:c r="F23" s="35" t="n">
        <x:f>(E23-D23)*100</x:f>
        <x:v>-0.3070121041417795</x:v>
      </x:c>
      <x:c r="G23" s="36" t="n">
        <x:f>'Holdings'!H67</x:f>
        <x:v>61782.41847790912</x:v>
      </x:c>
      <x:c r="H23" s="36" t="n">
        <x:f>D23*'Holdings'!L67-G23</x:f>
        <x:v>477.8665276002066</x:v>
      </x:c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 t="str">
        <x:v>IEFA</x:v>
      </x:c>
      <x:c r="D24" s="21" t="n">
        <x:f>G9</x:f>
        <x:v>0.2</x:v>
      </x:c>
      <x:c r="E24" s="34" t="n">
        <x:f>'Holdings'!I67/'Holdings'!L67</x:f>
        <x:v>0.20133398788504311</x:v>
      </x:c>
      <x:c r="F24" s="35" t="n">
        <x:f>(E24-D24)*100</x:f>
        <x:v>0.1333987885043103</x:v>
      </x:c>
      <x:c r="G24" s="36" t="n">
        <x:f>'Holdings'!I67</x:f>
        <x:v>31337.778667546365</x:v>
      </x:c>
      <x:c r="H24" s="36" t="n">
        <x:f>D24*'Holdings'!L67-G24</x:f>
        <x:v>-207.63616479170014</x:v>
      </x:c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 t="str">
        <x:v>AGG</x:v>
      </x:c>
      <x:c r="D25" s="21" t="n">
        <x:f>G10</x:f>
        <x:v>0.3</x:v>
      </x:c>
      <x:c r="E25" s="34" t="n">
        <x:f>'Holdings'!J67/'Holdings'!L67</x:f>
        <x:v>0.29293020748974413</x:v>
      </x:c>
      <x:c r="F25" s="35" t="n">
        <x:f>(E25-D25)*100</x:f>
        <x:v>-0.7069792510255857</x:v>
      </x:c>
      <x:c r="G25" s="36" t="n">
        <x:f>'Holdings'!J67</x:f>
        <x:v>45594.79551258613</x:v>
      </x:c>
      <x:c r="H25" s="36" t="n">
        <x:f>D25*'Holdings'!L67-G25</x:f>
        <x:v>1100.4182415458636</x:v>
      </x:c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 t="str">
        <x:v>IAU</x:v>
      </x:c>
      <x:c r="D26" s="21" t="n">
        <x:f>G11</x:f>
        <x:v>0.1</x:v>
      </x:c>
      <x:c r="E26" s="34" t="n">
        <x:f>'Holdings'!K67/'Holdings'!L67</x:f>
        <x:v>0.10880592566663053</x:v>
      </x:c>
      <x:c r="F26" s="35" t="n">
        <x:f>(E26-D26)*100</x:f>
        <x:v>0.8805925666630521</x:v>
      </x:c>
      <x:c r="G26" s="36" t="n">
        <x:f>'Holdings'!K67</x:f>
        <x:v>16935.7198557317</x:v>
      </x:c>
      <x:c r="H26" s="36" t="n">
        <x:f>D26*'Holdings'!L67-G26</x:f>
        <x:v>-1370.6486043543664</x:v>
      </x:c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7" t="str">
        <x:v>Total</x:v>
      </x:c>
      <x:c r="D27" s="28" t="n">
        <x:f>SUM(D23:D26)</x:f>
        <x:v>1.0000000000000002</x:v>
      </x:c>
      <x:c r="E27" s="28" t="n">
        <x:f>SUM(E23:E26)</x:f>
        <x:v>1</x:v>
      </x:c>
      <x:c r="F27" s="27"/>
      <x:c r="G27" s="39" t="n">
        <x:f>SUM(G23:G26)</x:f>
        <x:v>155650.71251377332</x:v>
      </x:c>
      <x:c r="H27" s="39" t="n">
        <x:f>SUM(H23:H26)</x:f>
        <x:v>3.637978807091713e-12</x:v>
      </x:c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 t="str">
        <x:v>One-way rebalance</x:v>
      </x:c>
      <x:c r="D29" s="21" t="n">
        <x:f>(ABS(H23)+ABS(H24)+ABS(H25)+ABS(H26))/(2*G27)</x:f>
        <x:v>0.010139913551673643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35" customHeight="1">
      <x:c r="A31" s="2"/>
      <x:c r="B31" s="2"/>
      <x:c r="C31" s="5" t="str">
        <x:v>Positive trade = buy; negative trade = sell. These are dollar trades at the final study value to restore target weights, before costs. They are not share quantities or executed orders.</x:v>
      </x:c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 t="str">
        <x:v>Fund-weight HHI</x:v>
      </x:c>
      <x:c r="D34" s="40" t="n">
        <x:f>SUMPRODUCT(E23:E26,E23:E26)</x:f>
        <x:v>0.29573553940792635</x:v>
      </x:c>
      <x:c r="E34" s="2"/>
      <x:c r="F34" s="2" t="str">
        <x:v>Effective fund count</x:v>
      </x:c>
      <x:c r="G34" s="41" t="n">
        <x:f>1/D34</x:f>
        <x:v>3.3813994828015512</x:v>
      </x:c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34" customHeight="1">
      <x:c r="A37" s="2"/>
      <x:c r="B37" s="2"/>
      <x:c r="C37" s="5" t="str">
        <x:v>Fund-level concentration does not describe underlying stock overlap, issuer exposure or equal risk contribution. No look-through holdings analysis is included.</x:v>
      </x:c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N3"/>
    <x:mergeCell ref="C14:N14"/>
    <x:mergeCell ref="C19:N19"/>
    <x:mergeCell ref="C31:N31"/>
    <x:mergeCell ref="C37:N37"/>
  </x:mergeCells>
  <x:dataValidations count="9">
    <x:dataValidation type="decimal" operator="between" sqref="E8">
      <x:formula1>0</x:formula1>
      <x:formula2>1</x:formula2>
    </x:dataValidation>
    <x:dataValidation type="decimal" operator="between" sqref="F8">
      <x:formula1>0</x:formula1>
      <x:formula2>1</x:formula2>
    </x:dataValidation>
    <x:dataValidation type="decimal" operator="between" sqref="E9">
      <x:formula1>0</x:formula1>
      <x:formula2>1</x:formula2>
    </x:dataValidation>
    <x:dataValidation type="decimal" operator="between" sqref="F9">
      <x:formula1>0</x:formula1>
      <x:formula2>1</x:formula2>
    </x:dataValidation>
    <x:dataValidation type="decimal" operator="between" sqref="E10">
      <x:formula1>0</x:formula1>
      <x:formula2>1</x:formula2>
    </x:dataValidation>
    <x:dataValidation type="decimal" operator="between" sqref="F10">
      <x:formula1>0</x:formula1>
      <x:formula2>1</x:formula2>
    </x:dataValidation>
    <x:dataValidation type="decimal" operator="between" sqref="E11">
      <x:formula1>0</x:formula1>
      <x:formula2>1</x:formula2>
    </x:dataValidation>
    <x:dataValidation type="decimal" operator="between" sqref="F11">
      <x:formula1>0</x:formula1>
      <x:formula2>1</x:formula2>
    </x:dataValidation>
    <x:dataValidation type="list" sqref="D17">
      <x:formula1>"1,3,6,12"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1" customHeight="1">
      <x:c r="A2" s="2"/>
      <x:c r="B2" s="2"/>
      <x:c r="C2" s="3" t="str">
        <x:v>Performance and risk calculations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9" customHeight="1">
      <x:c r="A3" s="2"/>
      <x:c r="B3" s="2"/>
      <x:c r="C3" s="6" t="str">
        <x:v>January 2021-December 2025. Sample volatility annualized from 60 monthly returns. USD.</x:v>
      </x:c>
      <x:c r="D3" s="6"/>
      <x:c r="E3" s="6"/>
      <x:c r="F3" s="6"/>
      <x:c r="G3" s="6"/>
      <x:c r="H3" s="6"/>
      <x:c r="I3" s="6"/>
      <x:c r="J3" s="6"/>
      <x:c r="K3" s="6"/>
      <x:c r="L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3" customHeight="1">
      <x:c r="A7" s="2"/>
      <x:c r="B7" s="2"/>
      <x:c r="C7" s="11" t="str">
        <x:v>Metric</x:v>
      </x:c>
      <x:c r="D7" s="11" t="str">
        <x:v>Portfolio</x:v>
      </x:c>
      <x:c r="E7" s="11" t="str">
        <x:v>Benchmark</x:v>
      </x:c>
      <x:c r="F7" s="2"/>
      <x:c r="G7" s="2"/>
      <x:c r="H7" s="2"/>
      <x:c r="I7" s="2"/>
      <x:c r="J7" s="2"/>
      <x:c r="K7" s="2"/>
      <x:c r="L7" s="2"/>
    </x:row>
    <x:row r="8" ht="22" customHeight="1">
      <x:c r="A8" s="2"/>
      <x:c r="B8" s="2"/>
      <x:c r="C8" s="2" t="str">
        <x:v>Total return</x:v>
      </x:c>
      <x:c r="D8" s="34" t="n">
        <x:f>'Monthly'!K68/'Monthly'!K8-1</x:f>
        <x:v>0.5565071251377331</x:v>
      </x:c>
      <x:c r="E8" s="34" t="n">
        <x:f>'Monthly'!L68/'Monthly'!L8-1</x:f>
        <x:v>0.5013464390898641</x:v>
      </x:c>
      <x:c r="F8" s="2"/>
      <x:c r="G8" s="2"/>
      <x:c r="H8" s="2"/>
      <x:c r="I8" s="2"/>
      <x:c r="J8" s="2"/>
      <x:c r="K8" s="2"/>
      <x:c r="L8" s="2"/>
    </x:row>
    <x:row r="9" ht="22" customHeight="1">
      <x:c r="A9" s="2"/>
      <x:c r="B9" s="2"/>
      <x:c r="C9" s="2" t="str">
        <x:v>Annualized return (CAGR)</x:v>
      </x:c>
      <x:c r="D9" s="34" t="n">
        <x:f>('Monthly'!K68/'Monthly'!K8)^(12/COUNT('Monthly'!H9:H68))-1</x:f>
        <x:v>0.09252207934600887</x:v>
      </x:c>
      <x:c r="E9" s="34" t="n">
        <x:f>('Monthly'!L68/'Monthly'!L8)^(12/COUNT('Monthly'!I9:I68))-1</x:f>
        <x:v>0.08466639135640008</x:v>
      </x:c>
      <x:c r="F9" s="2"/>
      <x:c r="G9" s="2"/>
      <x:c r="H9" s="2"/>
      <x:c r="I9" s="2"/>
      <x:c r="J9" s="2"/>
      <x:c r="K9" s="2"/>
      <x:c r="L9" s="2"/>
    </x:row>
    <x:row r="10" ht="22" customHeight="1">
      <x:c r="A10" s="2"/>
      <x:c r="B10" s="2"/>
      <x:c r="C10" s="2" t="str">
        <x:v>Annualized volatility</x:v>
      </x:c>
      <x:c r="D10" s="34" t="n">
        <x:f>STDEV('Monthly'!H9:H68)*SQRT(12)</x:f>
        <x:v>0.10485417654915065</x:v>
      </x:c>
      <x:c r="E10" s="34" t="n">
        <x:f>STDEV('Monthly'!I9:I68)*SQRT(12)</x:f>
        <x:v>0.10864749013784276</x:v>
      </x:c>
      <x:c r="F10" s="2"/>
      <x:c r="G10" s="2"/>
      <x:c r="H10" s="2"/>
      <x:c r="I10" s="2"/>
      <x:c r="J10" s="2"/>
      <x:c r="K10" s="2"/>
      <x:c r="L10" s="2"/>
    </x:row>
    <x:row r="11" ht="22" customHeight="1">
      <x:c r="A11" s="2"/>
      <x:c r="B11" s="2"/>
      <x:c r="C11" s="2" t="str">
        <x:v>Maximum drawdown</x:v>
      </x:c>
      <x:c r="D11" s="34" t="n">
        <x:f>MIN('Monthly'!N8:N68)</x:f>
        <x:v>-0.2039354880323484</x:v>
      </x:c>
      <x:c r="E11" s="34" t="n">
        <x:f>MIN('Monthly'!P8:P68)</x:f>
        <x:v>-0.20103571660987685</x:v>
      </x:c>
      <x:c r="F11" s="2"/>
      <x:c r="G11" s="2"/>
      <x:c r="H11" s="2"/>
      <x:c r="I11" s="2"/>
      <x:c r="J11" s="2"/>
      <x:c r="K11" s="2"/>
      <x:c r="L11" s="2"/>
    </x:row>
    <x:row r="12" ht="22" customHeight="1">
      <x:c r="A12" s="2"/>
      <x:c r="B12" s="2"/>
      <x:c r="C12" s="2" t="str">
        <x:v>Best month</x:v>
      </x:c>
      <x:c r="D12" s="34" t="n">
        <x:f>MAX('Monthly'!H9:H68)</x:f>
        <x:v>0.06871185333820029</x:v>
      </x:c>
      <x:c r="E12" s="34" t="n">
        <x:f>MAX('Monthly'!I9:I68)</x:f>
        <x:v>0.07276321284055376</x:v>
      </x:c>
      <x:c r="F12" s="2"/>
      <x:c r="G12" s="2"/>
      <x:c r="H12" s="2"/>
      <x:c r="I12" s="2"/>
      <x:c r="J12" s="2"/>
      <x:c r="K12" s="2"/>
      <x:c r="L12" s="2"/>
    </x:row>
    <x:row r="13" ht="22" customHeight="1">
      <x:c r="A13" s="2"/>
      <x:c r="B13" s="2"/>
      <x:c r="C13" s="2" t="str">
        <x:v>Worst month</x:v>
      </x:c>
      <x:c r="D13" s="34" t="n">
        <x:f>MIN('Monthly'!H9:H68)</x:f>
        <x:v>-0.07231593223354016</x:v>
      </x:c>
      <x:c r="E13" s="34" t="n">
        <x:f>MIN('Monthly'!I9:I68)</x:f>
        <x:v>-0.07311575291291561</x:v>
      </x:c>
      <x:c r="F13" s="2"/>
      <x:c r="G13" s="2"/>
      <x:c r="H13" s="2"/>
      <x:c r="I13" s="2"/>
      <x:c r="J13" s="2"/>
      <x:c r="K13" s="2"/>
      <x:c r="L13" s="2"/>
    </x:row>
    <x:row r="14" ht="22" customHeight="1">
      <x:c r="A14" s="2"/>
      <x:c r="B14" s="2"/>
      <x:c r="C14" s="2" t="str">
        <x:v>Ending value</x:v>
      </x:c>
      <x:c r="D14" s="36" t="n">
        <x:f>'Monthly'!K68</x:f>
        <x:v>155650.71251377332</x:v>
      </x:c>
      <x:c r="E14" s="36" t="n">
        <x:f>'Monthly'!L68</x:f>
        <x:v>150134.6439089864</x:v>
      </x:c>
      <x:c r="F14" s="2"/>
      <x:c r="G14" s="2"/>
      <x:c r="H14" s="2"/>
      <x:c r="I14" s="2"/>
      <x:c r="J14" s="2"/>
      <x:c r="K14" s="2"/>
      <x:c r="L14" s="2"/>
    </x:row>
    <x:row r="15" ht="22" customHeight="1">
      <x:c r="A15" s="2"/>
      <x:c r="B15" s="2"/>
      <x:c r="C15" s="2" t="str">
        <x:v>Positive months</x:v>
      </x:c>
      <x:c r="D15" s="58" t="n">
        <x:f>IF(COUNT('Monthly'!H9:H68)=60,COUNTIF('Monthly'!H9:H68,"&gt;0"),NA())</x:f>
        <x:v>41</x:v>
      </x:c>
      <x:c r="E15" s="58" t="n">
        <x:f>IF(COUNT('Monthly'!I9:I68)=60,COUNTIF('Monthly'!I9:I68,"&gt;0"),NA())</x:f>
        <x:v>39</x:v>
      </x:c>
      <x:c r="F15" s="2"/>
      <x:c r="G15" s="2"/>
      <x:c r="H15" s="2"/>
      <x:c r="I15" s="2"/>
      <x:c r="J15" s="2"/>
      <x:c r="K15" s="2"/>
      <x:c r="L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/>
      <x:c r="B18" s="2"/>
      <x:c r="C18" s="2" t="str">
        <x:v>Tracking error</x:v>
      </x:c>
      <x:c r="D18" s="34" t="n">
        <x:f>STDEV('Monthly'!J9:J68)*SQRT(12)</x:f>
        <x:v>0.02715697948478537</x:v>
      </x:c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 t="str">
        <x:v>CAGR spread (percentage points)</x:v>
      </x:c>
      <x:c r="D19" s="41" t="n">
        <x:f>(D9-E9)*100</x:f>
        <x:v>0.7855687989608784</x:v>
      </x:c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/>
      <x:c r="B20" s="2"/>
      <x:c r="C20" s="2" t="str">
        <x:v>Information ratio</x:v>
      </x:c>
      <x:c r="D20" s="59" t="n">
        <x:f>IF(D18=0,NA(),AVERAGE('Monthly'!J9:J68)*12/D18)</x:f>
        <x:v>0.2526010505757334</x:v>
      </x:c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7" customHeight="1">
      <x:c r="A22" s="2"/>
      <x:c r="B22" s="2"/>
      <x:c r="C22" s="5" t="str">
        <x:v>Active return = portfolio minus benchmark monthly return. Information ratio uses arithmetic annualized active return / tracking error. CAGR spread is a separate geometric comparison.</x:v>
      </x:c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33" customHeight="1">
      <x:c r="A25" s="2"/>
      <x:c r="B25" s="2"/>
      <x:c r="C25" s="11" t="str">
        <x:v>Monthly return correlation</x:v>
      </x:c>
      <x:c r="D25" s="11" t="str">
        <x:v>IVV</x:v>
      </x:c>
      <x:c r="E25" s="11" t="str">
        <x:v>IEFA</x:v>
      </x:c>
      <x:c r="F25" s="11" t="str">
        <x:v>AGG</x:v>
      </x:c>
      <x:c r="G25" s="11" t="str">
        <x:v>IAU</x:v>
      </x:c>
      <x:c r="H25" s="2"/>
      <x:c r="I25" s="2"/>
      <x:c r="J25" s="2"/>
      <x:c r="K25" s="2"/>
      <x:c r="L25" s="2"/>
    </x:row>
    <x:row r="26" ht="22" customHeight="1">
      <x:c r="A26" s="2"/>
      <x:c r="B26" s="2"/>
      <x:c r="C26" s="2" t="str">
        <x:v>IVV</x:v>
      </x:c>
      <x:c r="D26" s="59" t="n">
        <x:f>CORREL('Monthly'!D9:D68,'Monthly'!D9:D68)</x:f>
        <x:v>1</x:v>
      </x:c>
      <x:c r="E26" s="59" t="n">
        <x:f>CORREL('Monthly'!D9:D68,'Monthly'!E9:E68)</x:f>
        <x:v>0.7955798481478809</x:v>
      </x:c>
      <x:c r="F26" s="59" t="n">
        <x:f>CORREL('Monthly'!D9:D68,'Monthly'!F9:F68)</x:f>
        <x:v>0.6258726796381648</x:v>
      </x:c>
      <x:c r="G26" s="59" t="n">
        <x:f>CORREL('Monthly'!D9:D68,'Monthly'!G9:G68)</x:f>
        <x:v>0.07387464234445751</x:v>
      </x:c>
      <x:c r="H26" s="2"/>
      <x:c r="I26" s="2"/>
      <x:c r="J26" s="2"/>
      <x:c r="K26" s="2"/>
      <x:c r="L26" s="2"/>
    </x:row>
    <x:row r="27" ht="22" customHeight="1">
      <x:c r="A27" s="2"/>
      <x:c r="B27" s="2"/>
      <x:c r="C27" s="2" t="str">
        <x:v>IEFA</x:v>
      </x:c>
      <x:c r="D27" s="59" t="n">
        <x:f>CORREL('Monthly'!E9:E68,'Monthly'!D9:D68)</x:f>
        <x:v>0.7955798481478807</x:v>
      </x:c>
      <x:c r="E27" s="59" t="n">
        <x:f>CORREL('Monthly'!E9:E68,'Monthly'!E9:E68)</x:f>
        <x:v>0.9999999999999999</x:v>
      </x:c>
      <x:c r="F27" s="59" t="n">
        <x:f>CORREL('Monthly'!E9:E68,'Monthly'!F9:F68)</x:f>
        <x:v>0.7508604573035591</x:v>
      </x:c>
      <x:c r="G27" s="59" t="n">
        <x:f>CORREL('Monthly'!E9:E68,'Monthly'!G9:G68)</x:f>
        <x:v>0.31965012910724167</x:v>
      </x:c>
      <x:c r="H27" s="2"/>
      <x:c r="I27" s="2"/>
      <x:c r="J27" s="2"/>
      <x:c r="K27" s="2"/>
      <x:c r="L27" s="2"/>
    </x:row>
    <x:row r="28" ht="22" customHeight="1">
      <x:c r="A28" s="2"/>
      <x:c r="B28" s="2"/>
      <x:c r="C28" s="2" t="str">
        <x:v>AGG</x:v>
      </x:c>
      <x:c r="D28" s="59" t="n">
        <x:f>CORREL('Monthly'!F9:F68,'Monthly'!D9:D68)</x:f>
        <x:v>0.6258726796381648</x:v>
      </x:c>
      <x:c r="E28" s="59" t="n">
        <x:f>CORREL('Monthly'!F9:F68,'Monthly'!E9:E68)</x:f>
        <x:v>0.7508604573035591</x:v>
      </x:c>
      <x:c r="F28" s="59" t="n">
        <x:f>CORREL('Monthly'!F9:F68,'Monthly'!F9:F68)</x:f>
        <x:v>1</x:v>
      </x:c>
      <x:c r="G28" s="59" t="n">
        <x:f>CORREL('Monthly'!F9:F68,'Monthly'!G9:G68)</x:f>
        <x:v>0.3705521252584935</x:v>
      </x:c>
      <x:c r="H28" s="2"/>
      <x:c r="I28" s="2"/>
      <x:c r="J28" s="2"/>
      <x:c r="K28" s="2"/>
      <x:c r="L28" s="2"/>
    </x:row>
    <x:row r="29" ht="22" customHeight="1">
      <x:c r="A29" s="2"/>
      <x:c r="B29" s="2"/>
      <x:c r="C29" s="2" t="str">
        <x:v>IAU</x:v>
      </x:c>
      <x:c r="D29" s="59" t="n">
        <x:f>CORREL('Monthly'!G9:G68,'Monthly'!D9:D68)</x:f>
        <x:v>0.0738746423444575</x:v>
      </x:c>
      <x:c r="E29" s="59" t="n">
        <x:f>CORREL('Monthly'!G9:G68,'Monthly'!E9:E68)</x:f>
        <x:v>0.31965012910724167</x:v>
      </x:c>
      <x:c r="F29" s="59" t="n">
        <x:f>CORREL('Monthly'!G9:G68,'Monthly'!F9:F68)</x:f>
        <x:v>0.3705521252584935</x:v>
      </x:c>
      <x:c r="G29" s="59" t="n">
        <x:f>CORREL('Monthly'!G9:G68,'Monthly'!G9:G68)</x:f>
        <x:v>0.9999999999999998</x:v>
      </x:c>
      <x:c r="H29" s="2"/>
      <x:c r="I29" s="2"/>
      <x:c r="J29" s="2"/>
      <x:c r="K29" s="2"/>
      <x:c r="L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/>
      <x:c r="C31" s="2" t="str">
        <x:v>2022 IVV / AGG correlation</x:v>
      </x:c>
      <x:c r="D31" s="59" t="n">
        <x:f>CORREL('Monthly'!D21:D32,'Monthly'!F21:F32)</x:f>
        <x:v>0.6711719568376034</x:v>
      </x:c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3" customHeight="1">
      <x:c r="A34" s="2"/>
      <x:c r="B34" s="2"/>
      <x:c r="C34" s="11" t="str">
        <x:v>Fund</x:v>
      </x:c>
      <x:c r="D34" s="11" t="str">
        <x:v>Total return</x:v>
      </x:c>
      <x:c r="E34" s="11" t="str">
        <x:v>CAGR</x:v>
      </x:c>
      <x:c r="F34" s="11" t="str">
        <x:v>Volatility</x:v>
      </x:c>
      <x:c r="G34" s="11" t="str">
        <x:v>Gain contribution</x:v>
      </x:c>
      <x:c r="H34" s="11" t="str">
        <x:v>Risk share</x:v>
      </x:c>
      <x:c r="I34" s="2"/>
      <x:c r="J34" s="2"/>
      <x:c r="K34" s="2"/>
      <x:c r="L34" s="2"/>
    </x:row>
    <x:row r="35" ht="22" customHeight="1">
      <x:c r="A35" s="2"/>
      <x:c r="B35" s="2"/>
      <x:c r="C35" s="2" t="str">
        <x:v>IVV</x:v>
      </x:c>
      <x:c r="D35" s="34" t="n">
        <x:f>'Monthly'!D133-1</x:f>
        <x:v>0.9586189722755531</x:v>
      </x:c>
      <x:c r="E35" s="21" t="n">
        <x:f>(1+D35)^(1/5)-1</x:f>
        <x:v>0.1439050872003742</x:v>
      </x:c>
      <x:c r="F35" s="34" t="n">
        <x:f>STDEV('Monthly'!D9:D68)*SQRT(12)</x:f>
        <x:v>0.15104439371140577</x:v>
      </x:c>
      <x:c r="G35" s="34" t="n">
        <x:f>SUM('Holdings'!X8:X67)/'Allocation'!G16</x:f>
        <x:v>0.33246656163874433</x:v>
      </x:c>
      <x:c r="H35" s="34" t="n">
        <x:f>COVAR('Monthly'!Q9:Q68,'Monthly'!H9:H68)/VARP('Monthly'!H9:H68)</x:f>
        <x:v>0.5401101648030281</x:v>
      </x:c>
      <x:c r="I35" s="2"/>
      <x:c r="J35" s="2"/>
      <x:c r="K35" s="2"/>
      <x:c r="L35" s="2"/>
    </x:row>
    <x:row r="36" ht="22" customHeight="1">
      <x:c r="A36" s="2"/>
      <x:c r="B36" s="2"/>
      <x:c r="C36" s="2" t="str">
        <x:v>IEFA</x:v>
      </x:c>
      <x:c r="D36" s="34" t="n">
        <x:f>'Monthly'!E133-1</x:f>
        <x:v>0.5143447484337442</x:v>
      </x:c>
      <x:c r="E36" s="21" t="n">
        <x:f>(1+D36)^(1/5)-1</x:f>
        <x:v>0.08653807869946561</x:v>
      </x:c>
      <x:c r="F36" s="34" t="n">
        <x:f>STDEV('Monthly'!E9:E68)*SQRT(12)</x:f>
        <x:v>0.1512810235099847</x:v>
      </x:c>
      <x:c r="G36" s="34" t="n">
        <x:f>SUM('Holdings'!Y8:Y67)/'Allocation'!G16</x:f>
        <x:v>0.10893529752973609</x:v>
      </x:c>
      <x:c r="H36" s="34" t="n">
        <x:f>COVAR('Monthly'!R9:R68,'Monthly'!H9:H68)/VARP('Monthly'!H9:H68)</x:f>
        <x:v>0.2679218516947343</x:v>
      </x:c>
      <x:c r="I36" s="2"/>
      <x:c r="J36" s="2"/>
      <x:c r="K36" s="2"/>
      <x:c r="L36" s="2"/>
    </x:row>
    <x:row r="37" ht="22" customHeight="1">
      <x:c r="A37" s="2"/>
      <x:c r="B37" s="2"/>
      <x:c r="C37" s="2" t="str">
        <x:v>AGG</x:v>
      </x:c>
      <x:c r="D37" s="34" t="n">
        <x:f>'Monthly'!F133-1</x:f>
        <x:v>-0.01903363234781963</x:v>
      </x:c>
      <x:c r="E37" s="21" t="n">
        <x:f>(1+D37)^(1/5)-1</x:f>
        <x:v>-0.003836044260482785</x:v>
      </x:c>
      <x:c r="F37" s="34" t="n">
        <x:f>STDEV('Monthly'!F9:F68)*SQRT(12)</x:f>
        <x:v>0.063526642215581</x:v>
      </x:c>
      <x:c r="G37" s="34" t="n">
        <x:f>SUM('Holdings'!Z8:Z67)/'Allocation'!G16</x:f>
        <x:v>0.0018917815628100652</x:v>
      </x:c>
      <x:c r="H37" s="34" t="n">
        <x:f>COVAR('Monthly'!S9:S68,'Monthly'!H9:H68)/VARP('Monthly'!H9:H68)</x:f>
        <x:v>0.1456037282996205</x:v>
      </x:c>
      <x:c r="I37" s="2"/>
      <x:c r="J37" s="2"/>
      <x:c r="K37" s="2"/>
      <x:c r="L37" s="2"/>
    </x:row>
    <x:row r="38" ht="22" customHeight="1">
      <x:c r="A38" s="2"/>
      <x:c r="B38" s="2"/>
      <x:c r="C38" s="2" t="str">
        <x:v>IAU</x:v>
      </x:c>
      <x:c r="D38" s="34" t="n">
        <x:f>'Monthly'!G133-1</x:f>
        <x:v>1.2488129357385214</x:v>
      </x:c>
      <x:c r="E38" s="21" t="n">
        <x:f>(1+D38)^(1/5)-1</x:f>
        <x:v>0.17595490020558424</x:v>
      </x:c>
      <x:c r="F38" s="34" t="n">
        <x:f>STDEV('Monthly'!G9:G68)*SQRT(12)</x:f>
        <x:v>0.14406248374123956</x:v>
      </x:c>
      <x:c r="G38" s="34" t="n">
        <x:f>SUM('Holdings'!AA8:AA67)/'Allocation'!G16</x:f>
        <x:v>0.1132134844064413</x:v>
      </x:c>
      <x:c r="H38" s="34" t="n">
        <x:f>COVAR('Monthly'!T9:T68,'Monthly'!H9:H68)/VARP('Monthly'!H9:H68)</x:f>
        <x:v>0.046364255202616715</x:v>
      </x:c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37" customHeight="1">
      <x:c r="A40" s="2"/>
      <x:c r="B40" s="2"/>
      <x:c r="C40" s="5" t="str">
        <x:v>Gain contribution is summed sleeve P&amp;L / initial portfolio capital, in percentage points of total return. Risk share is covariance of sleeve contributions with portfolio return / portfolio variance.</x:v>
      </x:c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33" customHeight="1">
      <x:c r="A43" s="2"/>
      <x:c r="B43" s="2"/>
      <x:c r="C43" s="11" t="str">
        <x:v>Calendar year</x:v>
      </x:c>
      <x:c r="D43" s="11" t="str">
        <x:v>Portfolio</x:v>
      </x:c>
      <x:c r="E43" s="11" t="str">
        <x:v>Benchmark</x:v>
      </x:c>
      <x:c r="F43" s="11" t="str">
        <x:v>IVV contribution</x:v>
      </x:c>
      <x:c r="G43" s="11" t="str">
        <x:v>IEFA contribution</x:v>
      </x:c>
      <x:c r="H43" s="11" t="str">
        <x:v>AGG contribution</x:v>
      </x:c>
      <x:c r="I43" s="11" t="str">
        <x:v>IAU contribution</x:v>
      </x:c>
      <x:c r="J43" s="2"/>
      <x:c r="K43" s="2"/>
      <x:c r="L43" s="2"/>
    </x:row>
    <x:row r="44" ht="22" customHeight="1">
      <x:c r="A44" s="2"/>
      <x:c r="B44" s="2"/>
      <x:c r="C44" s="2" t="n">
        <x:v>2021</x:v>
      </x:c>
      <x:c r="D44" s="34" t="n">
        <x:f>'Monthly'!K20/'Monthly'!K8-1</x:f>
        <x:v>0.12303951141978064</x:v>
      </x:c>
      <x:c r="E44" s="34" t="n">
        <x:f>'Monthly'!L20/'Monthly'!L8-1</x:f>
        <x:v>0.1587450502594936</x:v>
      </x:c>
      <x:c r="F44" s="34" t="n">
        <x:f>SUM('Holdings'!X8:X19)/'Monthly'!K8</x:f>
        <x:v>0.10857053982953511</x:v>
      </x:c>
      <x:c r="G44" s="34" t="n">
        <x:f>SUM('Holdings'!Y8:Y19)/'Monthly'!K8</x:f>
        <x:v>0.022250522670172905</x:v>
      </x:c>
      <x:c r="H44" s="34" t="n">
        <x:f>SUM('Holdings'!Z8:Z19)/'Monthly'!K8</x:f>
        <x:v>-0.0047226889124876836</x:v>
      </x:c>
      <x:c r="I44" s="34" t="n">
        <x:f>SUM('Holdings'!AA8:AA19)/'Monthly'!K8</x:f>
        <x:v>-0.0030588621674402564</x:v>
      </x:c>
      <x:c r="J44" s="2"/>
      <x:c r="K44" s="2"/>
      <x:c r="L44" s="2"/>
    </x:row>
    <x:row r="45" ht="22" customHeight="1">
      <x:c r="A45" s="2"/>
      <x:c r="B45" s="2"/>
      <x:c r="C45" s="2" t="n">
        <x:v>2022</x:v>
      </x:c>
      <x:c r="D45" s="34" t="n">
        <x:f>'Monthly'!K32/'Monthly'!K20-1</x:f>
        <x:v>-0.14061837488748397</x:v>
      </x:c>
      <x:c r="E45" s="34" t="n">
        <x:f>'Monthly'!L32/'Monthly'!L20-1</x:f>
        <x:v>-0.15943460860932956</x:v>
      </x:c>
      <x:c r="F45" s="34" t="n">
        <x:f>SUM('Holdings'!X20:X31)/'Monthly'!K20</x:f>
        <x:v>-0.07262138527239868</x:v>
      </x:c>
      <x:c r="G45" s="34" t="n">
        <x:f>SUM('Holdings'!Y20:Y31)/'Monthly'!K20</x:f>
        <x:v>-0.02922980713839114</x:v>
      </x:c>
      <x:c r="H45" s="34" t="n">
        <x:f>SUM('Holdings'!Z20:Z31)/'Monthly'!K20</x:f>
        <x:v>-0.03897627290122026</x:v>
      </x:c>
      <x:c r="I45" s="34" t="n">
        <x:f>SUM('Holdings'!AA20:AA31)/'Monthly'!K20</x:f>
        <x:v>0.0002090904245259493</x:v>
      </x:c>
      <x:c r="J45" s="2"/>
      <x:c r="K45" s="2"/>
      <x:c r="L45" s="2"/>
    </x:row>
    <x:row r="46" ht="22" customHeight="1">
      <x:c r="A46" s="2"/>
      <x:c r="B46" s="2"/>
      <x:c r="C46" s="2" t="n">
        <x:v>2023</x:v>
      </x:c>
      <x:c r="D46" s="34" t="n">
        <x:f>'Monthly'!K44/'Monthly'!K32-1</x:f>
        <x:v>0.16907822498166047</x:v>
      </x:c>
      <x:c r="E46" s="34" t="n">
        <x:f>'Monthly'!L44/'Monthly'!L32-1</x:f>
        <x:v>0.1772296009267642</x:v>
      </x:c>
      <x:c r="F46" s="34" t="n">
        <x:f>SUM('Holdings'!X32:X43)/'Monthly'!K32</x:f>
        <x:v>0.1024964491252694</x:v>
      </x:c>
      <x:c r="G46" s="34" t="n">
        <x:f>SUM('Holdings'!Y32:Y43)/'Monthly'!K32</x:f>
        <x:v>0.03535613511305683</x:v>
      </x:c>
      <x:c r="H46" s="34" t="n">
        <x:f>SUM('Holdings'!Z32:Z43)/'Monthly'!K32</x:f>
        <x:v>0.017382267790748498</x:v>
      </x:c>
      <x:c r="I46" s="34" t="n">
        <x:f>SUM('Holdings'!AA32:AA43)/'Monthly'!K32</x:f>
        <x:v>0.013843372952585488</x:v>
      </x:c>
      <x:c r="J46" s="2"/>
      <x:c r="K46" s="2"/>
      <x:c r="L46" s="2"/>
    </x:row>
    <x:row r="47" ht="22" customHeight="1">
      <x:c r="A47" s="2"/>
      <x:c r="B47" s="2"/>
      <x:c r="C47" s="2" t="n">
        <x:v>2024</x:v>
      </x:c>
      <x:c r="D47" s="34" t="n">
        <x:f>'Monthly'!K56/'Monthly'!K44-1</x:f>
        <x:v>0.13387029086893376</x:v>
      </x:c>
      <x:c r="E47" s="34" t="n">
        <x:f>'Monthly'!L56/'Monthly'!L44-1</x:f>
        <x:v>0.15170864979775045</x:v>
      </x:c>
      <x:c r="F47" s="34" t="n">
        <x:f>SUM('Holdings'!X44:X55)/'Monthly'!K44</x:f>
        <x:v>0.09680301761425072</x:v>
      </x:c>
      <x:c r="G47" s="34" t="n">
        <x:f>SUM('Holdings'!Y44:Y55)/'Monthly'!K44</x:f>
        <x:v>0.006846020980368712</x:v>
      </x:c>
      <x:c r="H47" s="34" t="n">
        <x:f>SUM('Holdings'!Z44:Z55)/'Monthly'!K44</x:f>
        <x:v>0.004537959205005112</x:v>
      </x:c>
      <x:c r="I47" s="34" t="n">
        <x:f>SUM('Holdings'!AA44:AA55)/'Monthly'!K44</x:f>
        <x:v>0.025683293069309027</x:v>
      </x:c>
      <x:c r="J47" s="2"/>
      <x:c r="K47" s="2"/>
      <x:c r="L47" s="2"/>
    </x:row>
    <x:row r="48" ht="22" customHeight="1">
      <x:c r="A48" s="2"/>
      <x:c r="B48" s="2"/>
      <x:c r="C48" s="2" t="n">
        <x:v>2025</x:v>
      </x:c>
      <x:c r="D48" s="34" t="n">
        <x:f>'Monthly'!K68/'Monthly'!K56-1</x:f>
        <x:v>0.21664273068763995</x:v>
      </x:c>
      <x:c r="E48" s="34" t="n">
        <x:f>'Monthly'!L68/'Monthly'!L56-1</x:f>
        <x:v>0.13688809593891715</x:v>
      </x:c>
      <x:c r="F48" s="34" t="n">
        <x:f>SUM('Holdings'!X56:X67)/'Monthly'!K56</x:f>
        <x:v>0.07606113609576848</x:v>
      </x:c>
      <x:c r="G48" s="34" t="n">
        <x:f>SUM('Holdings'!Y56:Y67)/'Monthly'!K56</x:f>
        <x:v>0.06070580935590237</x:v>
      </x:c>
      <x:c r="H48" s="34" t="n">
        <x:f>SUM('Holdings'!Z56:Z67)/'Monthly'!K56</x:f>
        <x:v>0.022269359936344914</x:v>
      </x:c>
      <x:c r="I48" s="34" t="n">
        <x:f>SUM('Holdings'!AA56:AA67)/'Monthly'!K56</x:f>
        <x:v>0.05760642529962395</x:v>
      </x:c>
      <x:c r="J48" s="2"/>
      <x:c r="K48" s="2"/>
      <x:c r="L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33" customHeight="1">
      <x:c r="A50" s="2"/>
      <x:c r="B50" s="2"/>
      <x:c r="C50" s="5" t="str">
        <x:v>Annual sleeve contributions sum to each calendar-year portfolio return. Contributions across different years must not be added as a compounded return.</x:v>
      </x:c>
      <x:c r="D50" s="5"/>
      <x:c r="E50" s="5"/>
      <x:c r="F50" s="5"/>
      <x:c r="G50" s="5"/>
      <x:c r="H50" s="5"/>
      <x:c r="I50" s="5"/>
      <x:c r="J50" s="5"/>
      <x:c r="K50" s="5"/>
      <x:c r="L50" s="5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33" customHeight="1">
      <x:c r="A53" s="2"/>
      <x:c r="B53" s="2"/>
      <x:c r="C53" s="11" t="str">
        <x:v>Terminal reconciliation</x:v>
      </x:c>
      <x:c r="D53" s="11" t="str">
        <x:v>Difference</x:v>
      </x:c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 t="str">
        <x:v>Cumulative P&amp;L to wealth</x:v>
      </x:c>
      <x:c r="D54" s="62" t="n">
        <x:f>SUM('Holdings'!X8:AA67)-('Holdings'!L67-'Allocation'!G16)</x:f>
        <x:v>-1.3096723705530167e-10</x:v>
      </x:c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 t="str">
        <x:v>Risk contribution to 100%</x:v>
      </x:c>
      <x:c r="D55" s="62" t="n">
        <x:f>SUM(H35:H38)-1</x:f>
        <x:v>-4.440892098500626e-16</x:v>
      </x:c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 t="str">
        <x:v>2021 contribution to return</x:v>
      </x:c>
      <x:c r="D56" s="62" t="n">
        <x:f>SUM(F44:I44)-D44</x:f>
        <x:v>-5.551115123125783e-16</x:v>
      </x:c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 t="str">
        <x:v>2022 contribution to return</x:v>
      </x:c>
      <x:c r="D57" s="62" t="n">
        <x:f>SUM(F45:I45)-D45</x:f>
        <x:v>-1.6653345369377348e-16</x:v>
      </x:c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 t="str">
        <x:v>2023 contribution to return</x:v>
      </x:c>
      <x:c r="D58" s="62" t="n">
        <x:f>SUM(F46:I46)-D46</x:f>
        <x:v>-2.7755575615628914e-16</x:v>
      </x:c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 t="str">
        <x:v>2024 contribution to return</x:v>
      </x:c>
      <x:c r="D59" s="62" t="n">
        <x:f>SUM(F47:I47)-D47</x:f>
        <x:v>-1.6653345369377348e-16</x:v>
      </x:c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 t="str">
        <x:v>2025 contribution to return</x:v>
      </x:c>
      <x:c r="D60" s="62" t="n">
        <x:f>SUM(F48:I48)-D48</x:f>
        <x:v>-2.498001805406602e-16</x:v>
      </x:c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 t="str">
        <x:v>Rebalance buys less sells</x:v>
      </x:c>
      <x:c r="D61" s="62" t="n">
        <x:f>SUM('Allocation'!H23:H26)</x:f>
        <x:v>3.637978807091713e-12</x:v>
      </x:c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34" customHeight="1">
      <x:c r="A63" s="2"/>
      <x:c r="B63" s="2"/>
      <x:c r="C63" s="5" t="str">
        <x:v>Checks observe the model; no outputs or calculations depend on them. Missing source returns or invalid dates remain unavailable in the owning Monthly calculation.</x:v>
      </x:c>
      <x:c r="D63" s="5"/>
      <x:c r="E63" s="5"/>
      <x:c r="F63" s="5"/>
      <x:c r="G63" s="5"/>
      <x:c r="H63" s="5"/>
      <x:c r="I63" s="5"/>
      <x:c r="J63" s="5"/>
      <x:c r="K63" s="5"/>
      <x:c r="L63" s="5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L3"/>
    <x:mergeCell ref="C22:L22"/>
    <x:mergeCell ref="C40:L40"/>
    <x:mergeCell ref="C50:L50"/>
    <x:mergeCell ref="C63:L63"/>
  </x:mergeCells>
  <x:conditionalFormatting sqref="D26:G29">
    <x:cfRule type="colorScale" priority="1">
      <x:colorScale>
        <x:cfvo type="num" val="-1"/>
        <x:cfvo type="num" val="0"/>
        <x:cfvo type="num" val="1"/>
        <x:color rgb="FFF3E7DD"/>
        <x:color rgb="FFFFFFFF"/>
        <x:color rgb="FFCEE3E4"/>
      </x:colorScale>
    </x:cfRule>
  </x:conditionalFormatting>
  <x:conditionalFormatting sqref="D54:D61">
    <x:cfRule type="cellIs" dxfId="0" priority="2" operator="notBetween">
      <x:formula>-0.000001</x:formula>
      <x:formula>0.000001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1" customHeight="1">
      <x:c r="A2" s="2"/>
      <x:c r="B2" s="2"/>
      <x:c r="C2" s="3" t="str">
        <x:v>Monthly returns and portfolio risk path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9" customHeight="1">
      <x:c r="A3" s="2"/>
      <x:c r="B3" s="2"/>
      <x:c r="C3" s="6" t="str">
        <x:v>USD NAV total returns. Each row represents a complete calendar month. Drawdowns are measured at month end.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3" customHeight="1">
      <x:c r="A7" s="2"/>
      <x:c r="B7" s="2"/>
      <x:c r="C7" s="11" t="str">
        <x:v>Month end</x:v>
      </x:c>
      <x:c r="D7" s="11" t="str">
        <x:v>IVV</x:v>
      </x:c>
      <x:c r="E7" s="11" t="str">
        <x:v>IEFA</x:v>
      </x:c>
      <x:c r="F7" s="11" t="str">
        <x:v>AGG</x:v>
      </x:c>
      <x:c r="G7" s="11" t="str">
        <x:v>IAU</x:v>
      </x:c>
      <x:c r="H7" s="11" t="str">
        <x:v>Portfolio</x:v>
      </x:c>
      <x:c r="I7" s="11" t="str">
        <x:v>Benchmark</x:v>
      </x:c>
      <x:c r="J7" s="11" t="str">
        <x:v>Active return</x:v>
      </x:c>
      <x:c r="K7" s="11" t="str">
        <x:v>Portfolio USD</x:v>
      </x:c>
      <x:c r="L7" s="11" t="str">
        <x:v>Benchmark USD</x:v>
      </x:c>
      <x:c r="M7" s="11" t="str">
        <x:v>Portfolio peak</x:v>
      </x:c>
      <x:c r="N7" s="11" t="str">
        <x:v>Drawdown</x:v>
      </x:c>
      <x:c r="O7" s="11" t="str">
        <x:v>Benchmark peak</x:v>
      </x:c>
      <x:c r="P7" s="11" t="str">
        <x:v>Benchmark DD</x:v>
      </x:c>
      <x:c r="Q7" s="11" t="str">
        <x:v>IVV contribution</x:v>
      </x:c>
      <x:c r="R7" s="11" t="str">
        <x:v>IEFA contribution</x:v>
      </x:c>
      <x:c r="S7" s="11" t="str">
        <x:v>AGG contribution</x:v>
      </x:c>
      <x:c r="T7" s="11" t="str">
        <x:v>IAU contribution</x:v>
      </x:c>
    </x:row>
    <x:row r="8" ht="22" customHeight="1">
      <x:c r="A8" s="2"/>
      <x:c r="B8" s="2"/>
      <x:c r="C8" s="42" t="n">
        <x:f>'Data'!D5</x:f>
        <x:v>44196</x:v>
      </x:c>
      <x:c r="D8" s="2"/>
      <x:c r="E8" s="2"/>
      <x:c r="F8" s="2"/>
      <x:c r="G8" s="2"/>
      <x:c r="H8" s="2"/>
      <x:c r="I8" s="2"/>
      <x:c r="J8" s="2"/>
      <x:c r="K8" s="43" t="n">
        <x:f>'Allocation'!G16</x:f>
        <x:v>100000</x:v>
      </x:c>
      <x:c r="L8" s="43" t="n">
        <x:f>'Allocation'!G16</x:f>
        <x:v>100000</x:v>
      </x:c>
      <x:c r="M8" s="43" t="n">
        <x:f>'Allocation'!G16</x:f>
        <x:v>100000</x:v>
      </x:c>
      <x:c r="N8" s="22" t="n">
        <x:v>0</x:v>
      </x:c>
      <x:c r="O8" s="43" t="n">
        <x:f>'Allocation'!G16</x:f>
        <x:v>100000</x:v>
      </x:c>
      <x:c r="P8" s="22" t="n">
        <x:v>0</x:v>
      </x:c>
      <x:c r="Q8" s="22"/>
      <x:c r="R8" s="22"/>
      <x:c r="S8" s="22"/>
      <x:c r="T8" s="22"/>
    </x:row>
    <x:row r="9" ht="22" customHeight="1">
      <x:c r="A9" s="2"/>
      <x:c r="B9" s="2"/>
      <x:c r="C9" s="42" t="n">
        <x:f>IF(AND(ISNUMBER('Data'!C8),'Data'!C8=EOMONTH(C8,1),COUNTIF('Data'!$C$8:$C$67,'Data'!C8)=1),'Data'!C8,NA())</x:f>
        <x:v>44227</x:v>
      </x:c>
      <x:c r="D9" s="34" t="n">
        <x:f>IF(AND(ISNUMBER(C9),ISNUMBER('Data'!D8),'Data'!D8&gt;-1),'Data'!D8,NA())</x:f>
        <x:v>-0.0101</x:v>
      </x:c>
      <x:c r="E9" s="34" t="n">
        <x:f>IF(AND(ISNUMBER(C9),ISNUMBER('Data'!E8),'Data'!E8&gt;-1),'Data'!E8,NA())</x:f>
        <x:v>-0.0095</x:v>
      </x:c>
      <x:c r="F9" s="34" t="n">
        <x:f>IF(AND(ISNUMBER(C9),ISNUMBER('Data'!F8),'Data'!F8&gt;-1),'Data'!F8,NA())</x:f>
        <x:v>-0.0070999999999999995</x:v>
      </x:c>
      <x:c r="G9" s="34" t="n">
        <x:f>IF(AND(ISNUMBER(C9),ISNUMBER('Data'!G8),'Data'!G8&gt;-1),'Data'!G8,NA())</x:f>
        <x:v>-0.015</x:v>
      </x:c>
      <x:c r="H9" s="34" t="n">
        <x:f>'Holdings'!V8</x:f>
        <x:v>-0.009569999999999967</x:v>
      </x:c>
      <x:c r="I9" s="34" t="n">
        <x:f>'Holdings'!W8</x:f>
        <x:v>-0.008900000000000019</x:v>
      </x:c>
      <x:c r="J9" s="21" t="n">
        <x:f>H9-I9</x:f>
        <x:v>-0.0006699999999999484</x:v>
      </x:c>
      <x:c r="K9" s="43" t="n">
        <x:f>'Holdings'!L8</x:f>
        <x:v>99043</x:v>
      </x:c>
      <x:c r="L9" s="43" t="n">
        <x:f>'Holdings'!U8</x:f>
        <x:v>99110</x:v>
      </x:c>
      <x:c r="M9" s="44" t="n">
        <x:f>MAX(M8,K9)</x:f>
        <x:v>100000</x:v>
      </x:c>
      <x:c r="N9" s="21" t="n">
        <x:f>K9/M9-1</x:f>
        <x:v>-0.009569999999999967</x:v>
      </x:c>
      <x:c r="O9" s="44" t="n">
        <x:f>MAX(O8,L9)</x:f>
        <x:v>100000</x:v>
      </x:c>
      <x:c r="P9" s="21" t="n">
        <x:f>L9/O9-1</x:f>
        <x:v>-0.008900000000000019</x:v>
      </x:c>
      <x:c r="Q9" s="34" t="n">
        <x:f>'Holdings'!X8/K8</x:f>
        <x:v>-0.00404</x:v>
      </x:c>
      <x:c r="R9" s="34" t="n">
        <x:f>'Holdings'!Y8/K8</x:f>
        <x:v>-0.0019</x:v>
      </x:c>
      <x:c r="S9" s="34" t="n">
        <x:f>'Holdings'!Z8/K8</x:f>
        <x:v>-0.00213</x:v>
      </x:c>
      <x:c r="T9" s="34" t="n">
        <x:f>'Holdings'!AA8/K8</x:f>
        <x:v>-0.0015</x:v>
      </x:c>
    </x:row>
    <x:row r="10" ht="22" customHeight="1">
      <x:c r="A10" s="2"/>
      <x:c r="B10" s="2"/>
      <x:c r="C10" s="42" t="n">
        <x:f>IF(AND(ISNUMBER('Data'!C9),'Data'!C9=EOMONTH(C9,1),COUNTIF('Data'!$C$8:$C$67,'Data'!C9)=1),'Data'!C9,NA())</x:f>
        <x:v>44255</x:v>
      </x:c>
      <x:c r="D10" s="34" t="n">
        <x:f>IF(AND(ISNUMBER(C10),ISNUMBER('Data'!D9),'Data'!D9&gt;-1),'Data'!D9,NA())</x:f>
        <x:v>0.0275</x:v>
      </x:c>
      <x:c r="E10" s="34" t="n">
        <x:f>IF(AND(ISNUMBER(C10),ISNUMBER('Data'!E9),'Data'!E9&gt;-1),'Data'!E9,NA())</x:f>
        <x:v>0.0233</x:v>
      </x:c>
      <x:c r="F10" s="34" t="n">
        <x:f>IF(AND(ISNUMBER(C10),ISNUMBER('Data'!F9),'Data'!F9&gt;-1),'Data'!F9,NA())</x:f>
        <x:v>-0.0148</x:v>
      </x:c>
      <x:c r="G10" s="34" t="n">
        <x:f>IF(AND(ISNUMBER(C10),ISNUMBER('Data'!G9),'Data'!G9&gt;-1),'Data'!G9,NA())</x:f>
        <x:v>-0.06480000000000001</x:v>
      </x:c>
      <x:c r="H10" s="34" t="n">
        <x:f>'Holdings'!V9</x:f>
        <x:v>0.004758896640853161</x:v>
      </x:c>
      <x:c r="I10" s="34" t="n">
        <x:f>'Holdings'!W9</x:f>
        <x:v>0.010549270507516972</x:v>
      </x:c>
      <x:c r="J10" s="21" t="n">
        <x:f>H10-I10</x:f>
        <x:v>-0.005790373866663812</x:v>
      </x:c>
      <x:c r="K10" s="43" t="n">
        <x:f>'Holdings'!L9</x:f>
        <x:v>99514.33540000001</x:v>
      </x:c>
      <x:c r="L10" s="43" t="n">
        <x:f>'Holdings'!U9</x:f>
        <x:v>100155.53820000001</x:v>
      </x:c>
      <x:c r="M10" s="44" t="n">
        <x:f>MAX(M9,K10)</x:f>
        <x:v>100000</x:v>
      </x:c>
      <x:c r="N10" s="21" t="n">
        <x:f>K10/M10-1</x:f>
        <x:v>-0.004856645999999909</x:v>
      </x:c>
      <x:c r="O10" s="44" t="n">
        <x:f>MAX(O9,L10)</x:f>
        <x:v>100155.53820000001</x:v>
      </x:c>
      <x:c r="P10" s="21" t="n">
        <x:f>L10/O10-1</x:f>
        <x:v>0</x:v>
      </x:c>
      <x:c r="Q10" s="34" t="n">
        <x:f>'Holdings'!X9/K9</x:f>
        <x:v>0.010994113667800922</x:v>
      </x:c>
      <x:c r="R10" s="34" t="n">
        <x:f>'Holdings'!Y9/K9</x:f>
        <x:v>0.004660329351897664</x:v>
      </x:c>
      <x:c r="S10" s="34" t="n">
        <x:f>'Holdings'!Z9/K9</x:f>
        <x:v>-0.004451072766374211</x:v>
      </x:c>
      <x:c r="T10" s="34" t="n">
        <x:f>'Holdings'!AA9/K9</x:f>
        <x:v>-0.006444473612471339</x:v>
      </x:c>
    </x:row>
    <x:row r="11" ht="22" customHeight="1">
      <x:c r="A11" s="2"/>
      <x:c r="B11" s="2"/>
      <x:c r="C11" s="42" t="n">
        <x:f>IF(AND(ISNUMBER('Data'!C10),'Data'!C10=EOMONTH(C10,1),COUNTIF('Data'!$C$8:$C$67,'Data'!C10)=1),'Data'!C10,NA())</x:f>
        <x:v>44286</x:v>
      </x:c>
      <x:c r="D11" s="34" t="n">
        <x:f>IF(AND(ISNUMBER(C11),ISNUMBER('Data'!D10),'Data'!D10&gt;-1),'Data'!D10,NA())</x:f>
        <x:v>0.0437</x:v>
      </x:c>
      <x:c r="E11" s="34" t="n">
        <x:f>IF(AND(ISNUMBER(C11),ISNUMBER('Data'!E10),'Data'!E10&gt;-1),'Data'!E10,NA())</x:f>
        <x:v>0.0233</x:v>
      </x:c>
      <x:c r="F11" s="34" t="n">
        <x:f>IF(AND(ISNUMBER(C11),ISNUMBER('Data'!F10),'Data'!F10&gt;-1),'Data'!F10,NA())</x:f>
        <x:v>-0.0124</x:v>
      </x:c>
      <x:c r="G11" s="34" t="n">
        <x:f>IF(AND(ISNUMBER(C11),ISNUMBER('Data'!G10),'Data'!G10&gt;-1),'Data'!G10,NA())</x:f>
        <x:v>-0.0301</x:v>
      </x:c>
      <x:c r="H11" s="34" t="n">
        <x:f>'Holdings'!V10</x:f>
        <x:v>0.01616945212639198</x:v>
      </x:c>
      <x:c r="I11" s="34" t="n">
        <x:f>'Holdings'!W10</x:f>
        <x:v>0.021783167052263908</x:v>
      </x:c>
      <x:c r="J11" s="21" t="n">
        <x:f>H11-I11</x:f>
        <x:v>-0.0056137149258719266</x:v>
      </x:c>
      <x:c r="K11" s="43" t="n">
        <x:f>'Holdings'!L10</x:f>
        <x:v>101123.42768214003</x:v>
      </x:c>
      <x:c r="L11" s="43" t="n">
        <x:f>'Holdings'!U10</x:f>
        <x:v>102337.24301982002</x:v>
      </x:c>
      <x:c r="M11" s="44" t="n">
        <x:f>MAX(M10,K11)</x:f>
        <x:v>101123.42768214003</x:v>
      </x:c>
      <x:c r="N11" s="21" t="n">
        <x:f>K11/M11-1</x:f>
        <x:v>0</x:v>
      </x:c>
      <x:c r="O11" s="44" t="n">
        <x:f>MAX(O10,L11)</x:f>
        <x:v>102337.24301982002</x:v>
      </x:c>
      <x:c r="P11" s="21" t="n">
        <x:f>L11/O11-1</x:f>
        <x:v>0</x:v>
      </x:c>
      <x:c r="Q11" s="34" t="n">
        <x:f>'Holdings'!X10/K10</x:f>
        <x:v>0.017866066088404037</x:v>
      </x:c>
      <x:c r="R11" s="34" t="n">
        <x:f>'Holdings'!Y10/K10</x:f>
        <x:v>0.004746327742646035</x:v>
      </x:c>
      <x:c r="S11" s="34" t="n">
        <x:f>'Holdings'!Z10/K10</x:f>
        <x:v>-0.0036566821081337256</x:v>
      </x:c>
      <x:c r="T11" s="34" t="n">
        <x:f>'Holdings'!AA10/K10</x:f>
        <x:v>-0.002786259596524424</x:v>
      </x:c>
    </x:row>
    <x:row r="12" ht="22" customHeight="1">
      <x:c r="A12" s="2"/>
      <x:c r="B12" s="2"/>
      <x:c r="C12" s="42" t="n">
        <x:f>IF(AND(ISNUMBER('Data'!C11),'Data'!C11=EOMONTH(C11,1),COUNTIF('Data'!$C$8:$C$67,'Data'!C11)=1),'Data'!C11,NA())</x:f>
        <x:v>44316</x:v>
      </x:c>
      <x:c r="D12" s="34" t="n">
        <x:f>IF(AND(ISNUMBER(C12),ISNUMBER('Data'!D11),'Data'!D11&gt;-1),'Data'!D11,NA())</x:f>
        <x:v>0.0533</x:v>
      </x:c>
      <x:c r="E12" s="34" t="n">
        <x:f>IF(AND(ISNUMBER(C12),ISNUMBER('Data'!E11),'Data'!E11&gt;-1),'Data'!E11,NA())</x:f>
        <x:v>0.032400000000000005</x:v>
      </x:c>
      <x:c r="F12" s="34" t="n">
        <x:f>IF(AND(ISNUMBER(C12),ISNUMBER('Data'!F11),'Data'!F11&gt;-1),'Data'!F11,NA())</x:f>
        <x:v>0.0079</x:v>
      </x:c>
      <x:c r="G12" s="34" t="n">
        <x:f>IF(AND(ISNUMBER(C12),ISNUMBER('Data'!G11),'Data'!G11&gt;-1),'Data'!G11,NA())</x:f>
        <x:v>0.0453</x:v>
      </x:c>
      <x:c r="H12" s="34" t="n">
        <x:f>'Holdings'!V11</x:f>
        <x:v>0.03469999999999995</x:v>
      </x:c>
      <x:c r="I12" s="34" t="n">
        <x:f>'Holdings'!W11</x:f>
        <x:v>0.03513999999999995</x:v>
      </x:c>
      <x:c r="J12" s="21" t="n">
        <x:f>H12-I12</x:f>
        <x:v>-0.00043999999999999595</x:v>
      </x:c>
      <x:c r="K12" s="43" t="n">
        <x:f>'Holdings'!L11</x:f>
        <x:v>104632.41062271027</x:v>
      </x:c>
      <x:c r="L12" s="43" t="n">
        <x:f>'Holdings'!U11</x:f>
        <x:v>105933.37373953649</x:v>
      </x:c>
      <x:c r="M12" s="44" t="n">
        <x:f>MAX(M11,K12)</x:f>
        <x:v>104632.41062271027</x:v>
      </x:c>
      <x:c r="N12" s="21" t="n">
        <x:f>K12/M12-1</x:f>
        <x:v>0</x:v>
      </x:c>
      <x:c r="O12" s="44" t="n">
        <x:f>MAX(O11,L12)</x:f>
        <x:v>105933.37373953649</x:v>
      </x:c>
      <x:c r="P12" s="21" t="n">
        <x:f>L12/O12-1</x:f>
        <x:v>0</x:v>
      </x:c>
      <x:c r="Q12" s="34" t="n">
        <x:f>'Holdings'!X11/K11</x:f>
        <x:v>0.021319999999999933</x:v>
      </x:c>
      <x:c r="R12" s="34" t="n">
        <x:f>'Holdings'!Y11/K11</x:f>
        <x:v>0.00648</x:v>
      </x:c>
      <x:c r="S12" s="34" t="n">
        <x:f>'Holdings'!Z11/K11</x:f>
        <x:v>0.002370000000000002</x:v>
      </x:c>
      <x:c r="T12" s="34" t="n">
        <x:f>'Holdings'!AA11/K11</x:f>
        <x:v>0.00452999999999999</x:v>
      </x:c>
    </x:row>
    <x:row r="13" ht="22" customHeight="1">
      <x:c r="A13" s="2"/>
      <x:c r="B13" s="2"/>
      <x:c r="C13" s="42" t="n">
        <x:f>IF(AND(ISNUMBER('Data'!C12),'Data'!C12=EOMONTH(C12,1),COUNTIF('Data'!$C$8:$C$67,'Data'!C12)=1),'Data'!C12,NA())</x:f>
        <x:v>44347</x:v>
      </x:c>
      <x:c r="D13" s="34" t="n">
        <x:f>IF(AND(ISNUMBER(C13),ISNUMBER('Data'!D12),'Data'!D12&gt;-1),'Data'!D12,NA())</x:f>
        <x:v>0.0069</x:v>
      </x:c>
      <x:c r="E13" s="34" t="n">
        <x:f>IF(AND(ISNUMBER(C13),ISNUMBER('Data'!E12),'Data'!E12&gt;-1),'Data'!E12,NA())</x:f>
        <x:v>0.0332</x:v>
      </x:c>
      <x:c r="F13" s="34" t="n">
        <x:f>IF(AND(ISNUMBER(C13),ISNUMBER('Data'!F12),'Data'!F12&gt;-1),'Data'!F12,NA())</x:f>
        <x:v>0.003</x:v>
      </x:c>
      <x:c r="G13" s="34" t="n">
        <x:f>IF(AND(ISNUMBER(C13),ISNUMBER('Data'!G12),'Data'!G12&gt;-1),'Data'!G12,NA())</x:f>
        <x:v>0.0742</x:v>
      </x:c>
      <x:c r="H13" s="34" t="n">
        <x:f>'Holdings'!V12</x:f>
        <x:v>0.01780755774620668</x:v>
      </x:c>
      <x:c r="I13" s="34" t="n">
        <x:f>'Holdings'!W12</x:f>
        <x:v>0.005381051838398543</x:v>
      </x:c>
      <x:c r="J13" s="21" t="n">
        <x:f>H13-I13</x:f>
        <x:v>0.012426505907808139</x:v>
      </x:c>
      <x:c r="K13" s="43" t="n">
        <x:f>'Holdings'!L12</x:f>
        <x:v>106495.65831699899</x:v>
      </x:c>
      <x:c r="L13" s="43" t="n">
        <x:f>'Holdings'!U12</x:f>
        <x:v>106503.40671504539</x:v>
      </x:c>
      <x:c r="M13" s="44" t="n">
        <x:f>MAX(M12,K13)</x:f>
        <x:v>106495.65831699899</x:v>
      </x:c>
      <x:c r="N13" s="21" t="n">
        <x:f>K13/M13-1</x:f>
        <x:v>0</x:v>
      </x:c>
      <x:c r="O13" s="44" t="n">
        <x:f>MAX(O12,L13)</x:f>
        <x:v>106503.40671504539</x:v>
      </x:c>
      <x:c r="P13" s="21" t="n">
        <x:f>L13/O13-1</x:f>
        <x:v>0</x:v>
      </x:c>
      <x:c r="Q13" s="34" t="n">
        <x:f>'Holdings'!X12/K12</x:f>
        <x:v>0.002809614380979949</x:v>
      </x:c>
      <x:c r="R13" s="34" t="n">
        <x:f>'Holdings'!Y12/K12</x:f>
        <x:v>0.006625240166231733</x:v>
      </x:c>
      <x:c r="S13" s="34" t="n">
        <x:f>'Holdings'!Z12/K12</x:f>
        <x:v>0.0008766888953319318</x:v>
      </x:c>
      <x:c r="T13" s="34" t="n">
        <x:f>'Holdings'!AA12/K12</x:f>
        <x:v>0.007496014303662909</x:v>
      </x:c>
    </x:row>
    <x:row r="14" ht="22" customHeight="1">
      <x:c r="A14" s="2"/>
      <x:c r="B14" s="2"/>
      <x:c r="C14" s="42" t="n">
        <x:f>IF(AND(ISNUMBER('Data'!C13),'Data'!C13=EOMONTH(C13,1),COUNTIF('Data'!$C$8:$C$67,'Data'!C13)=1),'Data'!C13,NA())</x:f>
        <x:v>44377</x:v>
      </x:c>
      <x:c r="D14" s="34" t="n">
        <x:f>IF(AND(ISNUMBER(C14),ISNUMBER('Data'!D13),'Data'!D13&gt;-1),'Data'!D13,NA())</x:f>
        <x:v>0.0233</x:v>
      </x:c>
      <x:c r="E14" s="34" t="n">
        <x:f>IF(AND(ISNUMBER(C14),ISNUMBER('Data'!E13),'Data'!E13&gt;-1),'Data'!E13,NA())</x:f>
        <x:v>-0.013500000000000002</x:v>
      </x:c>
      <x:c r="F14" s="34" t="n">
        <x:f>IF(AND(ISNUMBER(C14),ISNUMBER('Data'!F13),'Data'!F13&gt;-1),'Data'!F13,NA())</x:f>
        <x:v>0.0072</x:v>
      </x:c>
      <x:c r="G14" s="34" t="n">
        <x:f>IF(AND(ISNUMBER(C14),ISNUMBER('Data'!G13),'Data'!G13&gt;-1),'Data'!G13,NA())</x:f>
        <x:v>-0.0721</x:v>
      </x:c>
      <x:c r="H14" s="34" t="n">
        <x:f>'Holdings'!V13</x:f>
        <x:v>0.0010371345186710457</x:v>
      </x:c>
      <x:c r="I14" s="34" t="n">
        <x:f>'Holdings'!W13</x:f>
        <x:v>0.017044320954258563</x:v>
      </x:c>
      <x:c r="J14" s="21" t="n">
        <x:f>H14-I14</x:f>
        <x:v>-0.016007186435587517</x:v>
      </x:c>
      <x:c r="K14" s="43" t="n">
        <x:f>'Holdings'!L13</x:f>
        <x:v>106606.10864032815</x:v>
      </x:c>
      <x:c r="L14" s="43" t="n">
        <x:f>'Holdings'!U13</x:f>
        <x:v>108318.68496181857</x:v>
      </x:c>
      <x:c r="M14" s="44" t="n">
        <x:f>MAX(M13,K14)</x:f>
        <x:v>106606.10864032815</x:v>
      </x:c>
      <x:c r="N14" s="21" t="n">
        <x:f>K14/M14-1</x:f>
        <x:v>0</x:v>
      </x:c>
      <x:c r="O14" s="44" t="n">
        <x:f>MAX(O13,L14)</x:f>
        <x:v>108318.68496181857</x:v>
      </x:c>
      <x:c r="P14" s="21" t="n">
        <x:f>L14/O14-1</x:f>
        <x:v>0</x:v>
      </x:c>
      <x:c r="Q14" s="34" t="n">
        <x:f>'Holdings'!X13/K13</x:f>
        <x:v>0.009385863132283175</x:v>
      </x:c>
      <x:c r="R14" s="34" t="n">
        <x:f>'Holdings'!Y13/K13</x:f>
        <x:v>-0.002734739962801007</x:v>
      </x:c>
      <x:c r="S14" s="34" t="n">
        <x:f>'Holdings'!Z13/K13</x:f>
        <x:v>0.0020734425607098995</x:v>
      </x:c>
      <x:c r="T14" s="34" t="n">
        <x:f>'Holdings'!AA13/K13</x:f>
        <x:v>-0.007687431211520978</x:v>
      </x:c>
    </x:row>
    <x:row r="15" ht="22" customHeight="1">
      <x:c r="A15" s="2"/>
      <x:c r="B15" s="2"/>
      <x:c r="C15" s="42" t="n">
        <x:f>IF(AND(ISNUMBER('Data'!C14),'Data'!C14=EOMONTH(C14,1),COUNTIF('Data'!$C$8:$C$67,'Data'!C14)=1),'Data'!C14,NA())</x:f>
        <x:v>44408</x:v>
      </x:c>
      <x:c r="D15" s="34" t="n">
        <x:f>IF(AND(ISNUMBER(C15),ISNUMBER('Data'!D14),'Data'!D14&gt;-1),'Data'!D14,NA())</x:f>
        <x:v>0.023700000000000002</x:v>
      </x:c>
      <x:c r="E15" s="34" t="n">
        <x:f>IF(AND(ISNUMBER(C15),ISNUMBER('Data'!E14),'Data'!E14&gt;-1),'Data'!E14,NA())</x:f>
        <x:v>0.0096</x:v>
      </x:c>
      <x:c r="F15" s="34" t="n">
        <x:f>IF(AND(ISNUMBER(C15),ISNUMBER('Data'!F14),'Data'!F14&gt;-1),'Data'!F14,NA())</x:f>
        <x:v>0.011200000000000002</x:v>
      </x:c>
      <x:c r="G15" s="34" t="n">
        <x:f>IF(AND(ISNUMBER(C15),ISNUMBER('Data'!G14),'Data'!G14&gt;-1),'Data'!G14,NA())</x:f>
        <x:v>0.0351</x:v>
      </x:c>
      <x:c r="H15" s="34" t="n">
        <x:f>'Holdings'!V14</x:f>
        <x:v>0.01827000000000001</x:v>
      </x:c>
      <x:c r="I15" s="34" t="n">
        <x:f>'Holdings'!W14</x:f>
        <x:v>0.01869999999999994</x:v>
      </x:c>
      <x:c r="J15" s="21" t="n">
        <x:f>H15-I15</x:f>
        <x:v>-0.00042999999999993044</x:v>
      </x:c>
      <x:c r="K15" s="43" t="n">
        <x:f>'Holdings'!L14</x:f>
        <x:v>108553.80224518696</x:v>
      </x:c>
      <x:c r="L15" s="43" t="n">
        <x:f>'Holdings'!U14</x:f>
        <x:v>110344.24437060457</x:v>
      </x:c>
      <x:c r="M15" s="44" t="n">
        <x:f>MAX(M14,K15)</x:f>
        <x:v>108553.80224518696</x:v>
      </x:c>
      <x:c r="N15" s="21" t="n">
        <x:f>K15/M15-1</x:f>
        <x:v>0</x:v>
      </x:c>
      <x:c r="O15" s="44" t="n">
        <x:f>MAX(O14,L15)</x:f>
        <x:v>110344.24437060457</x:v>
      </x:c>
      <x:c r="P15" s="21" t="n">
        <x:f>L15/O15-1</x:f>
        <x:v>0</x:v>
      </x:c>
      <x:c r="Q15" s="34" t="n">
        <x:f>'Holdings'!X14/K14</x:f>
        <x:v>0.009480000000000008</x:v>
      </x:c>
      <x:c r="R15" s="34" t="n">
        <x:f>'Holdings'!Y14/K14</x:f>
        <x:v>0.0019200000000000237</x:v>
      </x:c>
      <x:c r="S15" s="34" t="n">
        <x:f>'Holdings'!Z14/K14</x:f>
        <x:v>0.0033600000000000158</x:v>
      </x:c>
      <x:c r="T15" s="34" t="n">
        <x:f>'Holdings'!AA14/K14</x:f>
        <x:v>0.0035099999999999914</x:v>
      </x:c>
    </x:row>
    <x:row r="16" ht="22" customHeight="1">
      <x:c r="A16" s="2"/>
      <x:c r="B16" s="2"/>
      <x:c r="C16" s="42" t="n">
        <x:f>IF(AND(ISNUMBER('Data'!C15),'Data'!C15=EOMONTH(C15,1),COUNTIF('Data'!$C$8:$C$67,'Data'!C15)=1),'Data'!C15,NA())</x:f>
        <x:v>44439</x:v>
      </x:c>
      <x:c r="D16" s="34" t="n">
        <x:f>IF(AND(ISNUMBER(C16),ISNUMBER('Data'!D15),'Data'!D15&gt;-1),'Data'!D15,NA())</x:f>
        <x:v>0.0304</x:v>
      </x:c>
      <x:c r="E16" s="34" t="n">
        <x:f>IF(AND(ISNUMBER(C16),ISNUMBER('Data'!E15),'Data'!E15&gt;-1),'Data'!E15,NA())</x:f>
        <x:v>0.0172</x:v>
      </x:c>
      <x:c r="F16" s="34" t="n">
        <x:f>IF(AND(ISNUMBER(C16),ISNUMBER('Data'!F15),'Data'!F15&gt;-1),'Data'!F15,NA())</x:f>
        <x:v>-0.0019</x:v>
      </x:c>
      <x:c r="G16" s="34" t="n">
        <x:f>IF(AND(ISNUMBER(C16),ISNUMBER('Data'!G15),'Data'!G15&gt;-1),'Data'!G15,NA())</x:f>
        <x:v>-0.006</x:v>
      </x:c>
      <x:c r="H16" s="34" t="n">
        <x:f>'Holdings'!V15</x:f>
        <x:v>0.014459595195773334</x:v>
      </x:c>
      <x:c r="I16" s="34" t="n">
        <x:f>'Holdings'!W15</x:f>
        <x:v>0.017575121232944024</x:v>
      </x:c>
      <x:c r="J16" s="21" t="n">
        <x:f>H16-I16</x:f>
        <x:v>-0.0031155260371706905</x:v>
      </x:c>
      <x:c r="K16" s="43" t="n">
        <x:f>'Holdings'!L15</x:f>
        <x:v>110123.44628261439</x:v>
      </x:c>
      <x:c r="L16" s="43" t="n">
        <x:f>'Holdings'!U15</x:f>
        <x:v>112283.55784277554</x:v>
      </x:c>
      <x:c r="M16" s="44" t="n">
        <x:f>MAX(M15,K16)</x:f>
        <x:v>110123.44628261439</x:v>
      </x:c>
      <x:c r="N16" s="21" t="n">
        <x:f>K16/M16-1</x:f>
        <x:v>0</x:v>
      </x:c>
      <x:c r="O16" s="44" t="n">
        <x:f>MAX(O15,L16)</x:f>
        <x:v>112283.55784277554</x:v>
      </x:c>
      <x:c r="P16" s="21" t="n">
        <x:f>L16/O16-1</x:f>
        <x:v>0</x:v>
      </x:c>
      <x:c r="Q16" s="34" t="n">
        <x:f>'Holdings'!X15/K15</x:f>
        <x:v>0.012224844098323624</x:v>
      </x:c>
      <x:c r="R16" s="34" t="n">
        <x:f>'Holdings'!Y15/K15</x:f>
        <x:v>0.0034107103224096076</x:v>
      </x:c>
      <x:c r="S16" s="34" t="n">
        <x:f>'Holdings'!Z15/K15</x:f>
        <x:v>-0.0005660424052559759</x:v>
      </x:c>
      <x:c r="T16" s="34" t="n">
        <x:f>'Holdings'!AA15/K15</x:f>
        <x:v>-0.0006099168197040099</x:v>
      </x:c>
    </x:row>
    <x:row r="17" ht="22" customHeight="1">
      <x:c r="A17" s="2"/>
      <x:c r="B17" s="2"/>
      <x:c r="C17" s="42" t="n">
        <x:f>IF(AND(ISNUMBER('Data'!C16),'Data'!C16=EOMONTH(C16,1),COUNTIF('Data'!$C$8:$C$67,'Data'!C16)=1),'Data'!C16,NA())</x:f>
        <x:v>44469</x:v>
      </x:c>
      <x:c r="D17" s="34" t="n">
        <x:f>IF(AND(ISNUMBER(C17),ISNUMBER('Data'!D16),'Data'!D16&gt;-1),'Data'!D16,NA())</x:f>
        <x:v>-0.04650000000000001</x:v>
      </x:c>
      <x:c r="E17" s="34" t="n">
        <x:f>IF(AND(ISNUMBER(C17),ISNUMBER('Data'!E16),'Data'!E16&gt;-1),'Data'!E16,NA())</x:f>
        <x:v>-0.034</x:v>
      </x:c>
      <x:c r="F17" s="34" t="n">
        <x:f>IF(AND(ISNUMBER(C17),ISNUMBER('Data'!F16),'Data'!F16&gt;-1),'Data'!F16,NA())</x:f>
        <x:v>-0.0086</x:v>
      </x:c>
      <x:c r="G17" s="34" t="n">
        <x:f>IF(AND(ISNUMBER(C17),ISNUMBER('Data'!G16),'Data'!G16&gt;-1),'Data'!G16,NA())</x:f>
        <x:v>-0.039900000000000005</x:v>
      </x:c>
      <x:c r="H17" s="34" t="n">
        <x:f>'Holdings'!V16</x:f>
        <x:v>-0.03224824045463848</x:v>
      </x:c>
      <x:c r="I17" s="34" t="n">
        <x:f>'Holdings'!W16</x:f>
        <x:v>-0.03173962023923782</x:v>
      </x:c>
      <x:c r="J17" s="21" t="n">
        <x:f>H17-I17</x:f>
        <x:v>-0.0005086202154006569</x:v>
      </x:c>
      <x:c r="K17" s="43" t="n">
        <x:f>'Holdings'!L16</x:f>
        <x:v>106572.15890719918</x:v>
      </x:c>
      <x:c r="L17" s="43" t="n">
        <x:f>'Holdings'!U16</x:f>
        <x:v>108719.72035773535</x:v>
      </x:c>
      <x:c r="M17" s="44" t="n">
        <x:f>MAX(M16,K17)</x:f>
        <x:v>110123.44628261439</x:v>
      </x:c>
      <x:c r="N17" s="21" t="n">
        <x:f>K17/M17-1</x:f>
        <x:v>-0.03224824045463848</x:v>
      </x:c>
      <x:c r="O17" s="44" t="n">
        <x:f>MAX(O16,L17)</x:f>
        <x:v>112283.55784277554</x:v>
      </x:c>
      <x:c r="P17" s="21" t="n">
        <x:f>L17/O17-1</x:f>
        <x:v>-0.03173962023923782</x:v>
      </x:c>
      <x:c r="Q17" s="34" t="n">
        <x:f>'Holdings'!X16/K16</x:f>
        <x:v>-0.01899300989009251</x:v>
      </x:c>
      <x:c r="R17" s="34" t="n">
        <x:f>'Holdings'!Y16/K16</x:f>
        <x:v>-0.006760314539437522</x:v>
      </x:c>
      <x:c r="S17" s="34" t="n">
        <x:f>'Holdings'!Z16/K16</x:f>
        <x:v>-0.0025207694065361714</x:v>
      </x:c>
      <x:c r="T17" s="34" t="n">
        <x:f>'Holdings'!AA16/K16</x:f>
        <x:v>-0.003974146618572265</x:v>
      </x:c>
    </x:row>
    <x:row r="18" ht="22" customHeight="1">
      <x:c r="A18" s="2"/>
      <x:c r="B18" s="2"/>
      <x:c r="C18" s="42" t="n">
        <x:f>IF(AND(ISNUMBER('Data'!C17),'Data'!C17=EOMONTH(C17,1),COUNTIF('Data'!$C$8:$C$67,'Data'!C17)=1),'Data'!C17,NA())</x:f>
        <x:v>44500</x:v>
      </x:c>
      <x:c r="D18" s="34" t="n">
        <x:f>IF(AND(ISNUMBER(C18),ISNUMBER('Data'!D17),'Data'!D17&gt;-1),'Data'!D17,NA())</x:f>
        <x:v>0.07</x:v>
      </x:c>
      <x:c r="E18" s="34" t="n">
        <x:f>IF(AND(ISNUMBER(C18),ISNUMBER('Data'!E17),'Data'!E17&gt;-1),'Data'!E17,NA())</x:f>
        <x:v>0.0294</x:v>
      </x:c>
      <x:c r="F18" s="34" t="n">
        <x:f>IF(AND(ISNUMBER(C18),ISNUMBER('Data'!F17),'Data'!F17&gt;-1),'Data'!F17,NA())</x:f>
        <x:v>-0.0005</x:v>
      </x:c>
      <x:c r="G18" s="34" t="n">
        <x:f>IF(AND(ISNUMBER(C18),ISNUMBER('Data'!G17),'Data'!G17&gt;-1),'Data'!G17,NA())</x:f>
        <x:v>0.0148</x:v>
      </x:c>
      <x:c r="H18" s="34" t="n">
        <x:f>'Holdings'!V17</x:f>
        <x:v>0.035209999999999964</x:v>
      </x:c>
      <x:c r="I18" s="34" t="n">
        <x:f>'Holdings'!W17</x:f>
        <x:v>0.04180000000000006</x:v>
      </x:c>
      <x:c r="J18" s="21" t="n">
        <x:f>H18-I18</x:f>
        <x:v>-0.006590000000000096</x:v>
      </x:c>
      <x:c r="K18" s="43" t="n">
        <x:f>'Holdings'!L17</x:f>
        <x:v>110324.56462232166</x:v>
      </x:c>
      <x:c r="L18" s="43" t="n">
        <x:f>'Holdings'!U17</x:f>
        <x:v>113264.2046686887</x:v>
      </x:c>
      <x:c r="M18" s="44" t="n">
        <x:f>MAX(M17,K18)</x:f>
        <x:v>110324.56462232166</x:v>
      </x:c>
      <x:c r="N18" s="21" t="n">
        <x:f>K18/M18-1</x:f>
        <x:v>0</x:v>
      </x:c>
      <x:c r="O18" s="44" t="n">
        <x:f>MAX(O17,L18)</x:f>
        <x:v>113264.2046686887</x:v>
      </x:c>
      <x:c r="P18" s="21" t="n">
        <x:f>L18/O18-1</x:f>
        <x:v>0</x:v>
      </x:c>
      <x:c r="Q18" s="34" t="n">
        <x:f>'Holdings'!X17/K17</x:f>
        <x:v>0.02800000000000001</x:v>
      </x:c>
      <x:c r="R18" s="34" t="n">
        <x:f>'Holdings'!Y17/K17</x:f>
        <x:v>0.005880000000000036</x:v>
      </x:c>
      <x:c r="S18" s="34" t="n">
        <x:f>'Holdings'!Z17/K17</x:f>
        <x:v>-0.00014999999999999516</x:v>
      </x:c>
      <x:c r="T18" s="34" t="n">
        <x:f>'Holdings'!AA17/K17</x:f>
        <x:v>0.0014799999999999956</x:v>
      </x:c>
    </x:row>
    <x:row r="19" ht="22" customHeight="1">
      <x:c r="A19" s="2"/>
      <x:c r="B19" s="2"/>
      <x:c r="C19" s="42" t="n">
        <x:f>IF(AND(ISNUMBER('Data'!C18),'Data'!C18=EOMONTH(C18,1),COUNTIF('Data'!$C$8:$C$67,'Data'!C18)=1),'Data'!C18,NA())</x:f>
        <x:v>44530</x:v>
      </x:c>
      <x:c r="D19" s="34" t="n">
        <x:f>IF(AND(ISNUMBER(C19),ISNUMBER('Data'!D18),'Data'!D18&gt;-1),'Data'!D18,NA())</x:f>
        <x:v>-0.0069</x:v>
      </x:c>
      <x:c r="E19" s="34" t="n">
        <x:f>IF(AND(ISNUMBER(C19),ISNUMBER('Data'!E18),'Data'!E18&gt;-1),'Data'!E18,NA())</x:f>
        <x:v>-0.0467</x:v>
      </x:c>
      <x:c r="F19" s="34" t="n">
        <x:f>IF(AND(ISNUMBER(C19),ISNUMBER('Data'!F18),'Data'!F18&gt;-1),'Data'!F18,NA())</x:f>
        <x:v>0.003</x:v>
      </x:c>
      <x:c r="G19" s="34" t="n">
        <x:f>IF(AND(ISNUMBER(C19),ISNUMBER('Data'!G18),'Data'!G18&gt;-1),'Data'!G18,NA())</x:f>
        <x:v>0.0199</x:v>
      </x:c>
      <x:c r="H19" s="34" t="n">
        <x:f>'Holdings'!V18</x:f>
        <x:v>-0.009320615140889332</x:v>
      </x:c>
      <x:c r="I19" s="34" t="n">
        <x:f>'Holdings'!W18</x:f>
        <x:v>-0.003100787099251434</x:v>
      </x:c>
      <x:c r="J19" s="21" t="n">
        <x:f>H19-I19</x:f>
        <x:v>-0.006219828041637898</x:v>
      </x:c>
      <x:c r="K19" s="43" t="n">
        <x:f>'Holdings'!L18</x:f>
        <x:v>109296.27181489083</x:v>
      </x:c>
      <x:c r="L19" s="43" t="n">
        <x:f>'Holdings'!U18</x:f>
        <x:v>112912.99648404506</x:v>
      </x:c>
      <x:c r="M19" s="44" t="n">
        <x:f>MAX(M18,K19)</x:f>
        <x:v>110324.56462232166</x:v>
      </x:c>
      <x:c r="N19" s="21" t="n">
        <x:f>K19/M19-1</x:f>
        <x:v>-0.009320615140889332</x:v>
      </x:c>
      <x:c r="O19" s="44" t="n">
        <x:f>MAX(O18,L19)</x:f>
        <x:v>113264.2046686887</x:v>
      </x:c>
      <x:c r="P19" s="21" t="n">
        <x:f>L19/O19-1</x:f>
        <x:v>-0.003100787099251434</x:v>
      </x:c>
      <x:c r="Q19" s="34" t="n">
        <x:f>'Holdings'!X18/K18</x:f>
        <x:v>-0.0028527545135769673</x:v>
      </x:c>
      <x:c r="R19" s="34" t="n">
        <x:f>'Holdings'!Y18/K18</x:f>
        <x:v>-0.009287580297717361</x:v>
      </x:c>
      <x:c r="S19" s="34" t="n">
        <x:f>'Holdings'!Z18/K18</x:f>
        <x:v>0.0008689541252499052</x:v>
      </x:c>
      <x:c r="T19" s="34" t="n">
        <x:f>'Holdings'!AA18/K18</x:f>
        <x:v>0.0019507655451550929</x:v>
      </x:c>
    </x:row>
    <x:row r="20" ht="22" customHeight="1">
      <x:c r="A20" s="2"/>
      <x:c r="B20" s="2"/>
      <x:c r="C20" s="53" t="n">
        <x:f>IF(AND(ISNUMBER('Data'!C19),'Data'!C19=EOMONTH(C19,1),COUNTIF('Data'!$C$8:$C$67,'Data'!C19)=1),'Data'!C19,NA())</x:f>
        <x:v>44561</x:v>
      </x:c>
      <x:c r="D20" s="54" t="n">
        <x:f>IF(AND(ISNUMBER(C20),ISNUMBER('Data'!D19),'Data'!D19&gt;-1),'Data'!D19,NA())</x:f>
        <x:v>0.044800000000000006</x:v>
      </x:c>
      <x:c r="E20" s="54" t="n">
        <x:f>IF(AND(ISNUMBER(C20),ISNUMBER('Data'!E19),'Data'!E19&gt;-1),'Data'!E19,NA())</x:f>
        <x:v>0.047400000000000005</x:v>
      </x:c>
      <x:c r="F20" s="54" t="n">
        <x:f>IF(AND(ISNUMBER(C20),ISNUMBER('Data'!F19),'Data'!F19&gt;-1),'Data'!F19,NA())</x:f>
        <x:v>-0.0033</x:v>
      </x:c>
      <x:c r="G20" s="54" t="n">
        <x:f>IF(AND(ISNUMBER(C20),ISNUMBER('Data'!G19),'Data'!G19&gt;-1),'Data'!G19,NA())</x:f>
        <x:v>0.0084</x:v>
      </x:c>
      <x:c r="H20" s="54" t="n">
        <x:f>'Holdings'!V19</x:f>
        <x:v>0.027518590315515734</x:v>
      </x:c>
      <x:c r="I20" s="54" t="n">
        <x:f>'Holdings'!W19</x:f>
        <x:v>0.026228234429353403</x:v>
      </x:c>
      <x:c r="J20" s="28" t="n">
        <x:f>H20-I20</x:f>
        <x:v>0.001290355886162331</x:v>
      </x:c>
      <x:c r="K20" s="55" t="n">
        <x:f>'Holdings'!L19</x:f>
        <x:v>112303.95114197806</x:v>
      </x:c>
      <x:c r="L20" s="55" t="n">
        <x:f>'Holdings'!U19</x:f>
        <x:v>115874.50502594936</x:v>
      </x:c>
      <x:c r="M20" s="56" t="n">
        <x:f>MAX(M19,K20)</x:f>
        <x:v>112303.95114197806</x:v>
      </x:c>
      <x:c r="N20" s="28" t="n">
        <x:f>K20/M20-1</x:f>
        <x:v>0</x:v>
      </x:c>
      <x:c r="O20" s="56" t="n">
        <x:f>MAX(O19,L20)</x:f>
        <x:v>115874.50502594936</x:v>
      </x:c>
      <x:c r="P20" s="28" t="n">
        <x:f>L20/O20-1</x:f>
        <x:v>0</x:v>
      </x:c>
      <x:c r="Q20" s="54" t="n">
        <x:f>'Holdings'!X19/K19</x:f>
        <x:v>0.018567489223066416</x:v>
      </x:c>
      <x:c r="R20" s="54" t="n">
        <x:f>'Holdings'!Y19/K19</x:f>
        <x:v>0.009071111597409656</x:v>
      </x:c>
      <x:c r="S20" s="54" t="n">
        <x:f>'Holdings'!Z19/K19</x:f>
        <x:v>-0.0009677369904337055</x:v>
      </x:c>
      <x:c r="T20" s="54" t="n">
        <x:f>'Holdings'!AA19/K19</x:f>
        <x:v>0.0008477264854731608</x:v>
      </x:c>
    </x:row>
    <x:row r="21" ht="22" customHeight="1">
      <x:c r="A21" s="2"/>
      <x:c r="B21" s="2"/>
      <x:c r="C21" s="42" t="n">
        <x:f>IF(AND(ISNUMBER('Data'!C20),'Data'!C20=EOMONTH(C20,1),COUNTIF('Data'!$C$8:$C$67,'Data'!C20)=1),'Data'!C20,NA())</x:f>
        <x:v>44592</x:v>
      </x:c>
      <x:c r="D21" s="34" t="n">
        <x:f>IF(AND(ISNUMBER(C21),ISNUMBER('Data'!D20),'Data'!D20&gt;-1),'Data'!D20,NA())</x:f>
        <x:v>-0.0518</x:v>
      </x:c>
      <x:c r="E21" s="34" t="n">
        <x:f>IF(AND(ISNUMBER(C21),ISNUMBER('Data'!E20),'Data'!E20&gt;-1),'Data'!E20,NA())</x:f>
        <x:v>-0.04190000000000001</x:v>
      </x:c>
      <x:c r="F21" s="34" t="n">
        <x:f>IF(AND(ISNUMBER(C21),ISNUMBER('Data'!F20),'Data'!F20&gt;-1),'Data'!F20,NA())</x:f>
        <x:v>-0.0208</x:v>
      </x:c>
      <x:c r="G21" s="34" t="n">
        <x:f>IF(AND(ISNUMBER(C21),ISNUMBER('Data'!G20),'Data'!G20&gt;-1),'Data'!G20,NA())</x:f>
        <x:v>-0.0139</x:v>
      </x:c>
      <x:c r="H21" s="34" t="n">
        <x:f>'Holdings'!V20</x:f>
        <x:v>-0.03672999999999993</x:v>
      </x:c>
      <x:c r="I21" s="34" t="n">
        <x:f>'Holdings'!W20</x:f>
        <x:v>-0.03939999999999999</x:v>
      </x:c>
      <x:c r="J21" s="21" t="n">
        <x:f>H21-I21</x:f>
        <x:v>0.002670000000000061</x:v>
      </x:c>
      <x:c r="K21" s="43" t="n">
        <x:f>'Holdings'!L20</x:f>
        <x:v>108179.02701653322</x:v>
      </x:c>
      <x:c r="L21" s="43" t="n">
        <x:f>'Holdings'!U20</x:f>
        <x:v>111309.04952792695</x:v>
      </x:c>
      <x:c r="M21" s="44" t="n">
        <x:f>MAX(M20,K21)</x:f>
        <x:v>112303.95114197806</x:v>
      </x:c>
      <x:c r="N21" s="21" t="n">
        <x:f>K21/M21-1</x:f>
        <x:v>-0.03672999999999993</x:v>
      </x:c>
      <x:c r="O21" s="44" t="n">
        <x:f>MAX(O20,L21)</x:f>
        <x:v>115874.50502594936</x:v>
      </x:c>
      <x:c r="P21" s="21" t="n">
        <x:f>L21/O21-1</x:f>
        <x:v>-0.03939999999999999</x:v>
      </x:c>
      <x:c r="Q21" s="34" t="n">
        <x:f>'Holdings'!X20/K20</x:f>
        <x:v>-0.02072</x:v>
      </x:c>
      <x:c r="R21" s="34" t="n">
        <x:f>'Holdings'!Y20/K20</x:f>
        <x:v>-0.00838000000000001</x:v>
      </x:c>
      <x:c r="S21" s="34" t="n">
        <x:f>'Holdings'!Z20/K20</x:f>
        <x:v>-0.006239999999999982</x:v>
      </x:c>
      <x:c r="T21" s="34" t="n">
        <x:f>'Holdings'!AA20/K20</x:f>
        <x:v>-0.0013900000000000015</x:v>
      </x:c>
    </x:row>
    <x:row r="22" ht="22" customHeight="1">
      <x:c r="A22" s="2"/>
      <x:c r="B22" s="2"/>
      <x:c r="C22" s="42" t="n">
        <x:f>IF(AND(ISNUMBER('Data'!C21),'Data'!C21=EOMONTH(C21,1),COUNTIF('Data'!$C$8:$C$67,'Data'!C21)=1),'Data'!C21,NA())</x:f>
        <x:v>44620</x:v>
      </x:c>
      <x:c r="D22" s="34" t="n">
        <x:f>IF(AND(ISNUMBER(C22),ISNUMBER('Data'!D21),'Data'!D21&gt;-1),'Data'!D21,NA())</x:f>
        <x:v>-0.03</x:v>
      </x:c>
      <x:c r="E22" s="34" t="n">
        <x:f>IF(AND(ISNUMBER(C22),ISNUMBER('Data'!E21),'Data'!E21&gt;-1),'Data'!E21,NA())</x:f>
        <x:v>-0.028900000000000002</x:v>
      </x:c>
      <x:c r="F22" s="34" t="n">
        <x:f>IF(AND(ISNUMBER(C22),ISNUMBER('Data'!F21),'Data'!F21&gt;-1),'Data'!F21,NA())</x:f>
        <x:v>-0.011200000000000002</x:v>
      </x:c>
      <x:c r="G22" s="34" t="n">
        <x:f>IF(AND(ISNUMBER(C22),ISNUMBER('Data'!G21),'Data'!G21&gt;-1),'Data'!G21,NA())</x:f>
        <x:v>0.0635</x:v>
      </x:c>
      <x:c r="H22" s="34" t="n">
        <x:f>'Holdings'!V21</x:f>
        <x:v>-0.014476309861202075</x:v>
      </x:c>
      <x:c r="I22" s="34" t="n">
        <x:f>'Holdings'!W21</x:f>
        <x:v>-0.022334391005621512</x:v>
      </x:c>
      <x:c r="J22" s="21" t="n">
        <x:f>H22-I22</x:f>
        <x:v>0.007858081144419438</x:v>
      </x:c>
      <x:c r="K22" s="43" t="n">
        <x:f>'Holdings'!L21</x:f>
        <x:v>106612.99390095854</x:v>
      </x:c>
      <x:c r="L22" s="43" t="n">
        <x:f>'Holdings'!U21</x:f>
        <x:v>108823.02969330615</x:v>
      </x:c>
      <x:c r="M22" s="44" t="n">
        <x:f>MAX(M21,K22)</x:f>
        <x:v>112303.95114197806</x:v>
      </x:c>
      <x:c r="N22" s="21" t="n">
        <x:f>K22/M22-1</x:f>
        <x:v>-0.050674595000000044</x:v>
      </x:c>
      <x:c r="O22" s="44" t="n">
        <x:f>MAX(O21,L22)</x:f>
        <x:v>115874.50502594936</x:v>
      </x:c>
      <x:c r="P22" s="21" t="n">
        <x:f>L22/O22-1</x:f>
        <x:v>-0.06085441599999997</x:v>
      </x:c>
      <x:c r="Q22" s="34" t="n">
        <x:f>'Holdings'!X21/K21</x:f>
        <x:v>-0.011812264474134982</x:v>
      </x:c>
      <x:c r="R22" s="34" t="n">
        <x:f>'Holdings'!Y21/K21</x:f>
        <x:v>-0.005748977960488744</x:v>
      </x:c>
      <x:c r="S22" s="34" t="n">
        <x:f>'Holdings'!Z21/K21</x:f>
        <x:v>-0.003415565729234794</x:v>
      </x:c>
      <x:c r="T22" s="34" t="n">
        <x:f>'Holdings'!AA21/K21</x:f>
        <x:v>0.006500498302656572</x:v>
      </x:c>
    </x:row>
    <x:row r="23" ht="22" customHeight="1">
      <x:c r="A23" s="2"/>
      <x:c r="B23" s="2"/>
      <x:c r="C23" s="42" t="n">
        <x:f>IF(AND(ISNUMBER('Data'!C22),'Data'!C22=EOMONTH(C22,1),COUNTIF('Data'!$C$8:$C$67,'Data'!C22)=1),'Data'!C22,NA())</x:f>
        <x:v>44651</x:v>
      </x:c>
      <x:c r="D23" s="34" t="n">
        <x:f>IF(AND(ISNUMBER(C23),ISNUMBER('Data'!D22),'Data'!D22&gt;-1),'Data'!D22,NA())</x:f>
        <x:v>0.0371</x:v>
      </x:c>
      <x:c r="E23" s="34" t="n">
        <x:f>IF(AND(ISNUMBER(C23),ISNUMBER('Data'!E22),'Data'!E22&gt;-1),'Data'!E22,NA())</x:f>
        <x:v>-0.0022</x:v>
      </x:c>
      <x:c r="F23" s="34" t="n">
        <x:f>IF(AND(ISNUMBER(C23),ISNUMBER('Data'!F22),'Data'!F22&gt;-1),'Data'!F22,NA())</x:f>
        <x:v>-0.0277</x:v>
      </x:c>
      <x:c r="G23" s="34" t="n">
        <x:f>IF(AND(ISNUMBER(C23),ISNUMBER('Data'!G22),'Data'!G22&gt;-1),'Data'!G22,NA())</x:f>
        <x:v>0.0167</x:v>
      </x:c>
      <x:c r="H23" s="34" t="n">
        <x:f>'Holdings'!V22</x:f>
        <x:v>0.007315837751650678</x:v>
      </x:c>
      <x:c r="I23" s="34" t="n">
        <x:f>'Holdings'!W22</x:f>
        <x:v>0.010377201372433698</x:v>
      </x:c>
      <x:c r="J23" s="21" t="n">
        <x:f>H23-I23</x:f>
        <x:v>-0.0030613636207830197</x:v>
      </x:c>
      <x:c r="K23" s="43" t="n">
        <x:f>'Holdings'!L22</x:f>
        <x:v>107392.95726655566</x:v>
      </x:c>
      <x:c r="L23" s="43" t="n">
        <x:f>'Holdings'!U22</x:f>
        <x:v>109952.30818639192</x:v>
      </x:c>
      <x:c r="M23" s="44" t="n">
        <x:f>MAX(M22,K23)</x:f>
        <x:v>112303.95114197806</x:v>
      </x:c>
      <x:c r="N23" s="21" t="n">
        <x:f>K23/M23-1</x:f>
        <x:v>-0.04372948436349999</x:v>
      </x:c>
      <x:c r="O23" s="44" t="n">
        <x:f>MAX(O22,L23)</x:f>
        <x:v>115874.50502594936</x:v>
      </x:c>
      <x:c r="P23" s="21" t="n">
        <x:f>L23/O23-1</x:f>
        <x:v>-0.0511087131568001</x:v>
      </x:c>
      <x:c r="Q23" s="34" t="n">
        <x:f>'Holdings'!X22/K22</x:f>
        <x:v>0.01437773527192183</x:v>
      </x:c>
      <x:c r="R23" s="34" t="n">
        <x:f>'Holdings'!Y22/K22</x:f>
        <x:v>-0.00043123337713688666</x:v>
      </x:c>
      <x:c r="S23" s="34" t="n">
        <x:f>'Holdings'!Z22/K22</x:f>
        <x:v>-0.008475508877380135</x:v>
      </x:c>
      <x:c r="T23" s="34" t="n">
        <x:f>'Holdings'!AA22/K22</x:f>
        <x:v>0.0018448447342457816</x:v>
      </x:c>
    </x:row>
    <x:row r="24" ht="22" customHeight="1">
      <x:c r="A24" s="2"/>
      <x:c r="B24" s="2"/>
      <x:c r="C24" s="42" t="n">
        <x:f>IF(AND(ISNUMBER('Data'!C23),'Data'!C23=EOMONTH(C23,1),COUNTIF('Data'!$C$8:$C$67,'Data'!C23)=1),'Data'!C23,NA())</x:f>
        <x:v>44681</x:v>
      </x:c>
      <x:c r="D24" s="34" t="n">
        <x:f>IF(AND(ISNUMBER(C24),ISNUMBER('Data'!D23),'Data'!D23&gt;-1),'Data'!D23,NA())</x:f>
        <x:v>-0.0872</x:v>
      </x:c>
      <x:c r="E24" s="34" t="n">
        <x:f>IF(AND(ISNUMBER(C24),ISNUMBER('Data'!E23),'Data'!E23&gt;-1),'Data'!E23,NA())</x:f>
        <x:v>-0.0647</x:v>
      </x:c>
      <x:c r="F24" s="34" t="n">
        <x:f>IF(AND(ISNUMBER(C24),ISNUMBER('Data'!F23),'Data'!F23&gt;-1),'Data'!F23,NA())</x:f>
        <x:v>-0.0378</x:v>
      </x:c>
      <x:c r="G24" s="34" t="n">
        <x:f>IF(AND(ISNUMBER(C24),ISNUMBER('Data'!G23),'Data'!G23&gt;-1),'Data'!G23,NA())</x:f>
        <x:v>-0.0161</x:v>
      </x:c>
      <x:c r="H24" s="34" t="n">
        <x:f>'Holdings'!V23</x:f>
        <x:v>-0.06076999999999988</x:v>
      </x:c>
      <x:c r="I24" s="34" t="n">
        <x:f>'Holdings'!W23</x:f>
        <x:v>-0.06743999999999994</x:v>
      </x:c>
      <x:c r="J24" s="21" t="n">
        <x:f>H24-I24</x:f>
        <x:v>0.006670000000000065</x:v>
      </x:c>
      <x:c r="K24" s="43" t="n">
        <x:f>'Holdings'!L23</x:f>
        <x:v>100866.68725346708</x:v>
      </x:c>
      <x:c r="L24" s="43" t="n">
        <x:f>'Holdings'!U23</x:f>
        <x:v>102537.12452230166</x:v>
      </x:c>
      <x:c r="M24" s="44" t="n">
        <x:f>MAX(M23,K24)</x:f>
        <x:v>112303.95114197806</x:v>
      </x:c>
      <x:c r="N24" s="21" t="n">
        <x:f>K24/M24-1</x:f>
        <x:v>-0.10184204359873006</x:v>
      </x:c>
      <x:c r="O24" s="44" t="n">
        <x:f>MAX(O23,L24)</x:f>
        <x:v>115874.50502594936</x:v>
      </x:c>
      <x:c r="P24" s="21" t="n">
        <x:f>L24/O24-1</x:f>
        <x:v>-0.11510194154150544</x:v>
      </x:c>
      <x:c r="Q24" s="34" t="n">
        <x:f>'Holdings'!X23/K23</x:f>
        <x:v>-0.03487999999999996</x:v>
      </x:c>
      <x:c r="R24" s="34" t="n">
        <x:f>'Holdings'!Y23/K23</x:f>
        <x:v>-0.012940000000000004</x:v>
      </x:c>
      <x:c r="S24" s="34" t="n">
        <x:f>'Holdings'!Z23/K23</x:f>
        <x:v>-0.011340000000000024</x:v>
      </x:c>
      <x:c r="T24" s="34" t="n">
        <x:f>'Holdings'!AA23/K23</x:f>
        <x:v>-0.0016099999999999938</x:v>
      </x:c>
    </x:row>
    <x:row r="25" ht="22" customHeight="1">
      <x:c r="A25" s="2"/>
      <x:c r="B25" s="2"/>
      <x:c r="C25" s="42" t="n">
        <x:f>IF(AND(ISNUMBER('Data'!C24),'Data'!C24=EOMONTH(C24,1),COUNTIF('Data'!$C$8:$C$67,'Data'!C24)=1),'Data'!C24,NA())</x:f>
        <x:v>44712</x:v>
      </x:c>
      <x:c r="D25" s="34" t="n">
        <x:f>IF(AND(ISNUMBER(C25),ISNUMBER('Data'!D24),'Data'!D24&gt;-1),'Data'!D24,NA())</x:f>
        <x:v>0.0018</x:v>
      </x:c>
      <x:c r="E25" s="34" t="n">
        <x:f>IF(AND(ISNUMBER(C25),ISNUMBER('Data'!E24),'Data'!E24&gt;-1),'Data'!E24,NA())</x:f>
        <x:v>0.0172</x:v>
      </x:c>
      <x:c r="F25" s="34" t="n">
        <x:f>IF(AND(ISNUMBER(C25),ISNUMBER('Data'!F24),'Data'!F24&gt;-1),'Data'!F24,NA())</x:f>
        <x:v>0.006500000000000001</x:v>
      </x:c>
      <x:c r="G25" s="34" t="n">
        <x:f>IF(AND(ISNUMBER(C25),ISNUMBER('Data'!G24),'Data'!G24&gt;-1),'Data'!G24,NA())</x:f>
        <x:v>-0.0382</x:v>
      </x:c>
      <x:c r="H25" s="34" t="n">
        <x:f>'Holdings'!V24</x:f>
        <x:v>0.00212135472674424</x:v>
      </x:c>
      <x:c r="I25" s="34" t="n">
        <x:f>'Holdings'!W24</x:f>
        <x:v>0.003739752938148655</x:v>
      </x:c>
      <x:c r="J25" s="21" t="n">
        <x:f>H25-I25</x:f>
        <x:v>-0.0016183982114044149</x:v>
      </x:c>
      <x:c r="K25" s="43" t="n">
        <x:f>'Holdings'!L24</x:f>
        <x:v>101080.66127724326</x:v>
      </x:c>
      <x:c r="L25" s="43" t="n">
        <x:f>'Holdings'!U24</x:f>
        <x:v>102920.58803500325</x:v>
      </x:c>
      <x:c r="M25" s="44" t="n">
        <x:f>MAX(M24,K25)</x:f>
        <x:v>112303.95114197806</x:v>
      </x:c>
      <x:c r="N25" s="21" t="n">
        <x:f>K25/M25-1</x:f>
        <x:v>-0.09993673197255526</x:v>
      </x:c>
      <x:c r="O25" s="44" t="n">
        <x:f>MAX(O24,L25)</x:f>
        <x:v>115874.50502594936</x:v>
      </x:c>
      <x:c r="P25" s="21" t="n">
        <x:f>L25/O25-1</x:f>
        <x:v>-0.11179264142742318</x:v>
      </x:c>
      <x:c r="Q25" s="34" t="n">
        <x:f>'Holdings'!X24/K24</x:f>
        <x:v>0.0006997391480255199</x:v>
      </x:c>
      <x:c r="R25" s="34" t="n">
        <x:f>'Holdings'!Y24/K24</x:f>
        <x:v>0.0034256060815774938</x:v>
      </x:c>
      <x:c r="S25" s="34" t="n">
        <x:f>'Holdings'!Z24/K24</x:f>
        <x:v>0.0019976895967973455</x:v>
      </x:c>
      <x:c r="T25" s="34" t="n">
        <x:f>'Holdings'!AA24/K24</x:f>
        <x:v>-0.004001680099656111</x:v>
      </x:c>
    </x:row>
    <x:row r="26" ht="22" customHeight="1">
      <x:c r="A26" s="2"/>
      <x:c r="B26" s="2"/>
      <x:c r="C26" s="42" t="n">
        <x:f>IF(AND(ISNUMBER('Data'!C25),'Data'!C25=EOMONTH(C25,1),COUNTIF('Data'!$C$8:$C$67,'Data'!C25)=1),'Data'!C25,NA())</x:f>
        <x:v>44742</x:v>
      </x:c>
      <x:c r="D26" s="34" t="n">
        <x:f>IF(AND(ISNUMBER(C26),ISNUMBER('Data'!D25),'Data'!D25&gt;-1),'Data'!D25,NA())</x:f>
        <x:v>-0.08259999999999999</x:v>
      </x:c>
      <x:c r="E26" s="34" t="n">
        <x:f>IF(AND(ISNUMBER(C26),ISNUMBER('Data'!E25),'Data'!E25&gt;-1),'Data'!E25,NA())</x:f>
        <x:v>-0.0916</x:v>
      </x:c>
      <x:c r="F26" s="34" t="n">
        <x:f>IF(AND(ISNUMBER(C26),ISNUMBER('Data'!F25),'Data'!F25&gt;-1),'Data'!F25,NA())</x:f>
        <x:v>-0.015600000000000001</x:v>
      </x:c>
      <x:c r="G26" s="34" t="n">
        <x:f>IF(AND(ISNUMBER(C26),ISNUMBER('Data'!G25),'Data'!G25&gt;-1),'Data'!G25,NA())</x:f>
        <x:v>-0.012</x:v>
      </x:c>
      <x:c r="H26" s="34" t="n">
        <x:f>'Holdings'!V25</x:f>
        <x:v>-0.0566396982213897</x:v>
      </x:c>
      <x:c r="I26" s="34" t="n">
        <x:f>'Holdings'!W25</x:f>
        <x:v>-0.054872161380725815</x:v>
      </x:c>
      <x:c r="J26" s="21" t="n">
        <x:f>H26-I26</x:f>
        <x:v>-0.0017675368406638858</x:v>
      </x:c>
      <x:c r="K26" s="43" t="n">
        <x:f>'Holdings'!L25</x:f>
        <x:v>95355.48312648169</x:v>
      </x:c>
      <x:c r="L26" s="43" t="n">
        <x:f>'Holdings'!U25</x:f>
        <x:v>97273.11291894736</x:v>
      </x:c>
      <x:c r="M26" s="44" t="n">
        <x:f>MAX(M25,K26)</x:f>
        <x:v>112303.95114197806</x:v>
      </x:c>
      <x:c r="N26" s="21" t="n">
        <x:f>K26/M26-1</x:f>
        <x:v>-0.15091604385378754</x:v>
      </x:c>
      <x:c r="O26" s="44" t="n">
        <x:f>MAX(O25,L26)</x:f>
        <x:v>115874.50502594936</x:v>
      </x:c>
      <x:c r="P26" s="21" t="n">
        <x:f>L26/O26-1</x:f>
        <x:v>-0.1605304989465658</x:v>
      </x:c>
      <x:c r="Q26" s="34" t="n">
        <x:f>'Holdings'!X25/K25</x:f>
        <x:v>-0.032099955077144186</x:v>
      </x:c>
      <x:c r="R26" s="34" t="n">
        <x:f>'Holdings'!Y25/K25</x:f>
        <x:v>-0.018517846611476884</x:v>
      </x:c>
      <x:c r="S26" s="34" t="n">
        <x:f>'Holdings'!Z25/K25</x:f>
        <x:v>-0.004815403810389385</x:v>
      </x:c>
      <x:c r="T26" s="34" t="n">
        <x:f>'Holdings'!AA25/K25</x:f>
        <x:v>-0.0012064927223792148</x:v>
      </x:c>
    </x:row>
    <x:row r="27" ht="22" customHeight="1">
      <x:c r="A27" s="2"/>
      <x:c r="B27" s="2"/>
      <x:c r="C27" s="42" t="n">
        <x:f>IF(AND(ISNUMBER('Data'!C26),'Data'!C26=EOMONTH(C26,1),COUNTIF('Data'!$C$8:$C$67,'Data'!C26)=1),'Data'!C26,NA())</x:f>
        <x:v>44773</x:v>
      </x:c>
      <x:c r="D27" s="34" t="n">
        <x:f>IF(AND(ISNUMBER(C27),ISNUMBER('Data'!D26),'Data'!D26&gt;-1),'Data'!D26,NA())</x:f>
        <x:v>0.0922</x:v>
      </x:c>
      <x:c r="E27" s="34" t="n">
        <x:f>IF(AND(ISNUMBER(C27),ISNUMBER('Data'!E26),'Data'!E26&gt;-1),'Data'!E26,NA())</x:f>
        <x:v>0.0541</x:v>
      </x:c>
      <x:c r="F27" s="34" t="n">
        <x:f>IF(AND(ISNUMBER(C27),ISNUMBER('Data'!F26),'Data'!F26&gt;-1),'Data'!F26,NA())</x:f>
        <x:v>0.0242</x:v>
      </x:c>
      <x:c r="G27" s="34" t="n">
        <x:f>IF(AND(ISNUMBER(C27),ISNUMBER('Data'!G26),'Data'!G26&gt;-1),'Data'!G26,NA())</x:f>
        <x:v>-0.0352</x:v>
      </x:c>
      <x:c r="H27" s="34" t="n">
        <x:f>'Holdings'!V26</x:f>
        <x:v>0.05144000000000015</x:v>
      </x:c>
      <x:c r="I27" s="34" t="n">
        <x:f>'Holdings'!W26</x:f>
        <x:v>0.06499999999999995</x:v>
      </x:c>
      <x:c r="J27" s="21" t="n">
        <x:f>H27-I27</x:f>
        <x:v>-0.013559999999999794</x:v>
      </x:c>
      <x:c r="K27" s="43" t="n">
        <x:f>'Holdings'!L26</x:f>
        <x:v>100260.56917850793</x:v>
      </x:c>
      <x:c r="L27" s="43" t="n">
        <x:f>'Holdings'!U26</x:f>
        <x:v>103595.86525867894</x:v>
      </x:c>
      <x:c r="M27" s="44" t="n">
        <x:f>MAX(M26,K27)</x:f>
        <x:v>112303.95114197806</x:v>
      </x:c>
      <x:c r="N27" s="21" t="n">
        <x:f>K27/M27-1</x:f>
        <x:v>-0.10723916514962617</x:v>
      </x:c>
      <x:c r="O27" s="44" t="n">
        <x:f>MAX(O26,L27)</x:f>
        <x:v>115874.50502594936</x:v>
      </x:c>
      <x:c r="P27" s="21" t="n">
        <x:f>L27/O27-1</x:f>
        <x:v>-0.10596498137809263</x:v>
      </x:c>
      <x:c r="Q27" s="34" t="n">
        <x:f>'Holdings'!X26/K26</x:f>
        <x:v>0.036880000000000024</x:v>
      </x:c>
      <x:c r="R27" s="34" t="n">
        <x:f>'Holdings'!Y26/K26</x:f>
        <x:v>0.01082000000000001</x:v>
      </x:c>
      <x:c r="S27" s="34" t="n">
        <x:f>'Holdings'!Z26/K26</x:f>
        <x:v>0.0072599999999999965</x:v>
      </x:c>
      <x:c r="T27" s="34" t="n">
        <x:f>'Holdings'!AA26/K26</x:f>
        <x:v>-0.0035199999999999997</x:v>
      </x:c>
    </x:row>
    <x:row r="28" ht="22" customHeight="1">
      <x:c r="A28" s="2"/>
      <x:c r="B28" s="2"/>
      <x:c r="C28" s="42" t="n">
        <x:f>IF(AND(ISNUMBER('Data'!C27),'Data'!C27=EOMONTH(C27,1),COUNTIF('Data'!$C$8:$C$67,'Data'!C27)=1),'Data'!C27,NA())</x:f>
        <x:v>44804</x:v>
      </x:c>
      <x:c r="D28" s="34" t="n">
        <x:f>IF(AND(ISNUMBER(C28),ISNUMBER('Data'!D27),'Data'!D27&gt;-1),'Data'!D27,NA())</x:f>
        <x:v>-0.04081018</x:v>
      </x:c>
      <x:c r="E28" s="34" t="n">
        <x:f>IF(AND(ISNUMBER(C28),ISNUMBER('Data'!E27),'Data'!E27&gt;-1),'Data'!E27,NA())</x:f>
        <x:v>-0.0584</x:v>
      </x:c>
      <x:c r="F28" s="34" t="n">
        <x:f>IF(AND(ISNUMBER(C28),ISNUMBER('Data'!F27),'Data'!F27&gt;-1),'Data'!F27,NA())</x:f>
        <x:v>-0.0279</x:v>
      </x:c>
      <x:c r="G28" s="34" t="n">
        <x:f>IF(AND(ISNUMBER(C28),ISNUMBER('Data'!G27),'Data'!G27&gt;-1),'Data'!G27,NA())</x:f>
        <x:v>-0.0216</x:v>
      </x:c>
      <x:c r="H28" s="34" t="n">
        <x:f>'Holdings'!V27</x:f>
        <x:v>-0.038801606785361153</x:v>
      </x:c>
      <x:c r="I28" s="34" t="n">
        <x:f>'Holdings'!W27</x:f>
        <x:v>-0.0358439428709858</x:v>
      </x:c>
      <x:c r="J28" s="21" t="n">
        <x:f>H28-I28</x:f>
        <x:v>-0.0029576639143753525</x:v>
      </x:c>
      <x:c r="K28" s="43" t="n">
        <x:f>'Holdings'!L27</x:f>
        <x:v>96370.29799716696</x:v>
      </x:c>
      <x:c r="L28" s="43" t="n">
        <x:f>'Holdings'!U27</x:f>
        <x:v>99882.5809826765</x:v>
      </x:c>
      <x:c r="M28" s="44" t="n">
        <x:f>MAX(M27,K28)</x:f>
        <x:v>112303.95114197806</x:v>
      </x:c>
      <x:c r="N28" s="21" t="n">
        <x:f>K28/M28-1</x:f>
        <x:v>-0.14187972001686122</x:v>
      </x:c>
      <x:c r="O28" s="44" t="n">
        <x:f>MAX(O27,L28)</x:f>
        <x:v>115874.50502594936</x:v>
      </x:c>
      <x:c r="P28" s="21" t="n">
        <x:f>L28/O28-1</x:f>
        <x:v>-0.13801072151023697</x:v>
      </x:c>
      <x:c r="Q28" s="34" t="n">
        <x:f>'Holdings'!X27/K27</x:f>
        <x:v>-0.01695688906490145</x:v>
      </x:c>
      <x:c r="R28" s="34" t="n">
        <x:f>'Holdings'!Y27/K27</x:f>
        <x:v>-0.011709548809252077</x:v>
      </x:c>
      <x:c r="S28" s="34" t="n">
        <x:f>'Holdings'!Z27/K27</x:f>
        <x:v>-0.008153155672220953</x:v>
      </x:c>
      <x:c r="T28" s="34" t="n">
        <x:f>'Holdings'!AA27/K27</x:f>
        <x:v>-0.0019820132389865254</x:v>
      </x:c>
    </x:row>
    <x:row r="29" ht="22" customHeight="1">
      <x:c r="A29" s="2"/>
      <x:c r="B29" s="2"/>
      <x:c r="C29" s="42" t="n">
        <x:f>IF(AND(ISNUMBER('Data'!C28),'Data'!C28=EOMONTH(C28,1),COUNTIF('Data'!$C$8:$C$67,'Data'!C28)=1),'Data'!C28,NA())</x:f>
        <x:v>44834</x:v>
      </x:c>
      <x:c r="D29" s="34" t="n">
        <x:f>IF(AND(ISNUMBER(C29),ISNUMBER('Data'!D28),'Data'!D28&gt;-1),'Data'!D28,NA())</x:f>
        <x:v>-0.09213297000000001</x:v>
      </x:c>
      <x:c r="E29" s="34" t="n">
        <x:f>IF(AND(ISNUMBER(C29),ISNUMBER('Data'!E28),'Data'!E28&gt;-1),'Data'!E28,NA())</x:f>
        <x:v>-0.0965</x:v>
      </x:c>
      <x:c r="F29" s="34" t="n">
        <x:f>IF(AND(ISNUMBER(C29),ISNUMBER('Data'!F28),'Data'!F28&gt;-1),'Data'!F28,NA())</x:f>
        <x:v>-0.0431</x:v>
      </x:c>
      <x:c r="G29" s="34" t="n">
        <x:f>IF(AND(ISNUMBER(C29),ISNUMBER('Data'!G28),'Data'!G28&gt;-1),'Data'!G28,NA())</x:f>
        <x:v>-0.025929999999999998</x:v>
      </x:c>
      <x:c r="H29" s="34" t="n">
        <x:f>'Holdings'!V28</x:f>
        <x:v>-0.07231593223354016</x:v>
      </x:c>
      <x:c r="I29" s="34" t="n">
        <x:f>'Holdings'!W28</x:f>
        <x:v>-0.07311575291291561</x:v>
      </x:c>
      <x:c r="J29" s="21" t="n">
        <x:f>H29-I29</x:f>
        <x:v>0.0007998206793754514</x:v>
      </x:c>
      <x:c r="K29" s="43" t="n">
        <x:f>'Holdings'!L28</x:f>
        <x:v>89401.19005787776</x:v>
      </x:c>
      <x:c r="L29" s="43" t="n">
        <x:f>'Holdings'!U28</x:f>
        <x:v>92579.59087124285</x:v>
      </x:c>
      <x:c r="M29" s="44" t="n">
        <x:f>MAX(M28,K29)</x:f>
        <x:v>112303.95114197806</x:v>
      </x:c>
      <x:c r="N29" s="21" t="n">
        <x:f>K29/M29-1</x:f>
        <x:v>-0.2039354880323484</x:v>
      </x:c>
      <x:c r="O29" s="44" t="n">
        <x:f>MAX(O28,L29)</x:f>
        <x:v>115874.50502594936</x:v>
      </x:c>
      <x:c r="P29" s="21" t="n">
        <x:f>L29/O29-1</x:f>
        <x:v>-0.20103571660987685</x:v>
      </x:c>
      <x:c r="Q29" s="34" t="n">
        <x:f>'Holdings'!X28/K28</x:f>
        <x:v>-0.03820183853940468</x:v>
      </x:c>
      <x:c r="R29" s="34" t="n">
        <x:f>'Holdings'!Y28/K28</x:f>
        <x:v>-0.018954312699616983</x:v>
      </x:c>
      <x:c r="S29" s="34" t="n">
        <x:f>'Holdings'!Z28/K28</x:f>
        <x:v>-0.012737866956113723</x:v>
      </x:c>
      <x:c r="T29" s="34" t="n">
        <x:f>'Holdings'!AA28/K28</x:f>
        <x:v>-0.0024219140384047974</x:v>
      </x:c>
    </x:row>
    <x:row r="30" ht="22" customHeight="1">
      <x:c r="A30" s="2"/>
      <x:c r="B30" s="2"/>
      <x:c r="C30" s="42" t="n">
        <x:f>IF(AND(ISNUMBER('Data'!C29),'Data'!C29=EOMONTH(C29,1),COUNTIF('Data'!$C$8:$C$67,'Data'!C29)=1),'Data'!C29,NA())</x:f>
        <x:v>44865</x:v>
      </x:c>
      <x:c r="D30" s="34" t="n">
        <x:f>IF(AND(ISNUMBER(C30),ISNUMBER('Data'!D29),'Data'!D29&gt;-1),'Data'!D29,NA())</x:f>
        <x:v>0.08092987000000001</x:v>
      </x:c>
      <x:c r="E30" s="34" t="n">
        <x:f>IF(AND(ISNUMBER(C30),ISNUMBER('Data'!E29),'Data'!E29&gt;-1),'Data'!E29,NA())</x:f>
        <x:v>0.0572</x:v>
      </x:c>
      <x:c r="F30" s="34" t="n">
        <x:f>IF(AND(ISNUMBER(C30),ISNUMBER('Data'!F29),'Data'!F29&gt;-1),'Data'!F29,NA())</x:f>
        <x:v>-0.013000000000000001</x:v>
      </x:c>
      <x:c r="G30" s="34" t="n">
        <x:f>IF(AND(ISNUMBER(C30),ISNUMBER('Data'!G29),'Data'!G29&gt;-1),'Data'!G29,NA())</x:f>
        <x:v>-0.019799999999999998</x:v>
      </x:c>
      <x:c r="H30" s="34" t="n">
        <x:f>'Holdings'!V29</x:f>
        <x:v>0.03793194800000044</x:v>
      </x:c>
      <x:c r="I30" s="34" t="n">
        <x:f>'Holdings'!W29</x:f>
        <x:v>0.04335792199999999</x:v>
      </x:c>
      <x:c r="J30" s="21" t="n">
        <x:f>H30-I30</x:f>
        <x:v>-0.005425973999999556</x:v>
      </x:c>
      <x:c r="K30" s="43" t="n">
        <x:f>'Holdings'!L29</x:f>
        <x:v>92792.35135029131</x:v>
      </x:c>
      <x:c r="L30" s="43" t="n">
        <x:f>'Holdings'!U29</x:f>
        <x:v>96593.6495510301</x:v>
      </x:c>
      <x:c r="M30" s="44" t="n">
        <x:f>MAX(M29,K30)</x:f>
        <x:v>112303.95114197806</x:v>
      </x:c>
      <x:c r="N30" s="21" t="n">
        <x:f>K30/M30-1</x:f>
        <x:v>-0.17373921035974582</x:v>
      </x:c>
      <x:c r="O30" s="44" t="n">
        <x:f>MAX(O29,L30)</x:f>
        <x:v>115874.50502594936</x:v>
      </x:c>
      <x:c r="P30" s="21" t="n">
        <x:f>L30/O30-1</x:f>
        <x:v>-0.16639428552986202</x:v>
      </x:c>
      <x:c r="Q30" s="34" t="n">
        <x:f>'Holdings'!X29/K29</x:f>
        <x:v>0.03237194800000004</x:v>
      </x:c>
      <x:c r="R30" s="34" t="n">
        <x:f>'Holdings'!Y29/K29</x:f>
        <x:v>0.011439999999999987</x:v>
      </x:c>
      <x:c r="S30" s="34" t="n">
        <x:f>'Holdings'!Z29/K29</x:f>
        <x:v>-0.00390000000000002</x:v>
      </x:c>
      <x:c r="T30" s="34" t="n">
        <x:f>'Holdings'!AA29/K29</x:f>
        <x:v>-0.0019799999999999952</x:v>
      </x:c>
    </x:row>
    <x:row r="31" ht="22" customHeight="1">
      <x:c r="A31" s="2"/>
      <x:c r="B31" s="2"/>
      <x:c r="C31" s="42" t="n">
        <x:f>IF(AND(ISNUMBER('Data'!C30),'Data'!C30=EOMONTH(C30,1),COUNTIF('Data'!$C$8:$C$67,'Data'!C30)=1),'Data'!C30,NA())</x:f>
        <x:v>44895</x:v>
      </x:c>
      <x:c r="D31" s="34" t="n">
        <x:f>IF(AND(ISNUMBER(C31),ISNUMBER('Data'!D30),'Data'!D30&gt;-1),'Data'!D30,NA())</x:f>
        <x:v>0.05585076</x:v>
      </x:c>
      <x:c r="E31" s="34" t="n">
        <x:f>IF(AND(ISNUMBER(C31),ISNUMBER('Data'!E30),'Data'!E30&gt;-1),'Data'!E30,NA())</x:f>
        <x:v>0.1353</x:v>
      </x:c>
      <x:c r="F31" s="34" t="n">
        <x:f>IF(AND(ISNUMBER(C31),ISNUMBER('Data'!F30),'Data'!F30&gt;-1),'Data'!F30,NA())</x:f>
        <x:v>0.0369</x:v>
      </x:c>
      <x:c r="G31" s="34" t="n">
        <x:f>IF(AND(ISNUMBER(C31),ISNUMBER('Data'!G30),'Data'!G30&gt;-1),'Data'!G30,NA())</x:f>
        <x:v>0.06964000000000001</x:v>
      </x:c>
      <x:c r="H31" s="34" t="n">
        <x:f>'Holdings'!V30</x:f>
        <x:v>0.06793156028614722</x:v>
      </x:c>
      <x:c r="I31" s="34" t="n">
        <x:f>'Holdings'!W30</x:f>
        <x:v>0.048679912977859896</x:v>
      </x:c>
      <x:c r="J31" s="21" t="n">
        <x:f>H31-I31</x:f>
        <x:v>0.019251647308287323</x:v>
      </x:c>
      <x:c r="K31" s="43" t="n">
        <x:f>'Holdings'!L30</x:f>
        <x:v>99095.88056013698</x:v>
      </x:c>
      <x:c r="L31" s="43" t="n">
        <x:f>'Holdings'!U30</x:f>
        <x:v>101295.82000538814</x:v>
      </x:c>
      <x:c r="M31" s="44" t="n">
        <x:f>MAX(M30,K31)</x:f>
        <x:v>112303.95114197806</x:v>
      </x:c>
      <x:c r="N31" s="21" t="n">
        <x:f>K31/M31-1</x:f>
        <x:v>-0.11761002571621937</x:v>
      </x:c>
      <x:c r="O31" s="44" t="n">
        <x:f>MAX(O30,L31)</x:f>
        <x:v>115874.50502594936</x:v>
      </x:c>
      <x:c r="P31" s="21" t="n">
        <x:f>L31/O31-1</x:f>
        <x:v>-0.125814431891609</x:v>
      </x:c>
      <x:c r="Q31" s="34" t="n">
        <x:f>'Holdings'!X30/K30</x:f>
        <x:v>0.023265785338828886</x:v>
      </x:c>
      <x:c r="R31" s="34" t="n">
        <x:f>'Holdings'!Y30/K30</x:f>
        <x:v>0.027562338797957473</x:v>
      </x:c>
      <x:c r="S31" s="34" t="n">
        <x:f>'Holdings'!Z30/K30</x:f>
        <x:v>0.01052678840944587</x:v>
      </x:c>
      <x:c r="T31" s="34" t="n">
        <x:f>'Holdings'!AA30/K30</x:f>
        <x:v>0.006576647739915205</x:v>
      </x:c>
    </x:row>
    <x:row r="32" ht="22" customHeight="1">
      <x:c r="A32" s="2"/>
      <x:c r="B32" s="2"/>
      <x:c r="C32" s="53" t="n">
        <x:f>IF(AND(ISNUMBER('Data'!C31),'Data'!C31=EOMONTH(C31,1),COUNTIF('Data'!$C$8:$C$67,'Data'!C31)=1),'Data'!C31,NA())</x:f>
        <x:v>44926</x:v>
      </x:c>
      <x:c r="D32" s="54" t="n">
        <x:f>IF(AND(ISNUMBER(C32),ISNUMBER('Data'!D31),'Data'!D31&gt;-1),'Data'!D31,NA())</x:f>
        <x:v>-0.05762394</x:v>
      </x:c>
      <x:c r="E32" s="54" t="n">
        <x:f>IF(AND(ISNUMBER(C32),ISNUMBER('Data'!E31),'Data'!E31&gt;-1),'Data'!E31,NA())</x:f>
        <x:v>-0.0172</x:v>
      </x:c>
      <x:c r="F32" s="54" t="n">
        <x:f>IF(AND(ISNUMBER(C32),ISNUMBER('Data'!F31),'Data'!F31&gt;-1),'Data'!F31,NA())</x:f>
        <x:v>-0.0064</x:v>
      </x:c>
      <x:c r="G32" s="54" t="n">
        <x:f>IF(AND(ISNUMBER(C32),ISNUMBER('Data'!G31),'Data'!G31&gt;-1),'Data'!G31,NA())</x:f>
        <x:v>0.03336</x:v>
      </x:c>
      <x:c r="H32" s="54" t="n">
        <x:f>'Holdings'!V31</x:f>
        <x:v>-0.026075034669268637</x:v>
      </x:c>
      <x:c r="I32" s="54" t="n">
        <x:f>'Holdings'!W31</x:f>
        <x:v>-0.03845885581303943</x:v>
      </x:c>
      <x:c r="J32" s="28" t="n">
        <x:f>H32-I32</x:f>
        <x:v>0.01238382114377079</x:v>
      </x:c>
      <x:c r="K32" s="55" t="n">
        <x:f>'Holdings'!L31</x:f>
        <x:v>96511.9520389497</x:v>
      </x:c>
      <x:c r="L32" s="55" t="n">
        <x:f>'Holdings'!U31</x:f>
        <x:v>97400.09866933733</x:v>
      </x:c>
      <x:c r="M32" s="56" t="n">
        <x:f>MAX(M31,K32)</x:f>
        <x:v>112303.95114197806</x:v>
      </x:c>
      <x:c r="N32" s="28" t="n">
        <x:f>K32/M32-1</x:f>
        <x:v>-0.14061837488748397</x:v>
      </x:c>
      <x:c r="O32" s="56" t="n">
        <x:f>MAX(O31,L32)</x:f>
        <x:v>115874.50502594936</x:v>
      </x:c>
      <x:c r="P32" s="28" t="n">
        <x:f>L32/O32-1</x:f>
        <x:v>-0.15943460860932956</x:v>
      </x:c>
      <x:c r="Q32" s="54" t="n">
        <x:f>'Holdings'!X31/K31</x:f>
        <x:v>-0.02373289373553491</x:v>
      </x:c>
      <x:c r="R32" s="54" t="n">
        <x:f>'Holdings'!Y31/K31</x:f>
        <x:v>-0.0037248941304250157</x:v>
      </x:c>
      <x:c r="S32" s="54" t="n">
        <x:f>'Holdings'!Z31/K31</x:f>
        <x:v>-0.0017727314706308362</x:v>
      </x:c>
      <x:c r="T32" s="54" t="n">
        <x:f>'Holdings'!AA31/K31</x:f>
        <x:v>0.003155484667321921</x:v>
      </x:c>
    </x:row>
    <x:row r="33" ht="22" customHeight="1">
      <x:c r="A33" s="2"/>
      <x:c r="B33" s="2"/>
      <x:c r="C33" s="42" t="n">
        <x:f>IF(AND(ISNUMBER('Data'!C32),'Data'!C32=EOMONTH(C32,1),COUNTIF('Data'!$C$8:$C$67,'Data'!C32)=1),'Data'!C32,NA())</x:f>
        <x:v>44957</x:v>
      </x:c>
      <x:c r="D33" s="34" t="n">
        <x:f>IF(AND(ISNUMBER(C33),ISNUMBER('Data'!D32),'Data'!D32&gt;-1),'Data'!D32,NA())</x:f>
        <x:v>0.06281209</x:v>
      </x:c>
      <x:c r="E33" s="34" t="n">
        <x:f>IF(AND(ISNUMBER(C33),ISNUMBER('Data'!E32),'Data'!E32&gt;-1),'Data'!E32,NA())</x:f>
        <x:v>0.0849</x:v>
      </x:c>
      <x:c r="F33" s="34" t="n">
        <x:f>IF(AND(ISNUMBER(C33),ISNUMBER('Data'!F32),'Data'!F32&gt;-1),'Data'!F32,NA())</x:f>
        <x:v>0.0325</x:v>
      </x:c>
      <x:c r="G33" s="34" t="n">
        <x:f>IF(AND(ISNUMBER(C33),ISNUMBER('Data'!G32),'Data'!G32&gt;-1),'Data'!G32,NA())</x:f>
        <x:v>0.06132</x:v>
      </x:c>
      <x:c r="H33" s="34" t="n">
        <x:f>'Holdings'!V32</x:f>
        <x:v>0.05798683600000021</x:v>
      </x:c>
      <x:c r="I33" s="34" t="n">
        <x:f>'Holdings'!W32</x:f>
        <x:v>0.05068725400000007</x:v>
      </x:c>
      <x:c r="J33" s="21" t="n">
        <x:f>H33-I33</x:f>
        <x:v>0.007299582000000138</x:v>
      </x:c>
      <x:c r="K33" s="43" t="n">
        <x:f>'Holdings'!L32</x:f>
        <x:v>102108.37477387216</x:v>
      </x:c>
      <x:c r="L33" s="43" t="n">
        <x:f>'Holdings'!U32</x:f>
        <x:v>102337.04221021509</x:v>
      </x:c>
      <x:c r="M33" s="44" t="n">
        <x:f>MAX(M32,K33)</x:f>
        <x:v>112303.95114197806</x:v>
      </x:c>
      <x:c r="N33" s="21" t="n">
        <x:f>K33/M33-1</x:f>
        <x:v>-0.09078555353067097</x:v>
      </x:c>
      <x:c r="O33" s="44" t="n">
        <x:f>MAX(O32,L33)</x:f>
        <x:v>115874.50502594936</x:v>
      </x:c>
      <x:c r="P33" s="21" t="n">
        <x:f>L33/O33-1</x:f>
        <x:v>-0.11682865711230128</x:v>
      </x:c>
      <x:c r="Q33" s="34" t="n">
        <x:f>'Holdings'!X32/K32</x:f>
        <x:v>0.02512483600000002</x:v>
      </x:c>
      <x:c r="R33" s="34" t="n">
        <x:f>'Holdings'!Y32/K32</x:f>
        <x:v>0.016980000000000016</x:v>
      </x:c>
      <x:c r="S33" s="34" t="n">
        <x:f>'Holdings'!Z32/K32</x:f>
        <x:v>0.009749999999999981</x:v>
      </x:c>
      <x:c r="T33" s="34" t="n">
        <x:f>'Holdings'!AA32/K32</x:f>
        <x:v>0.0061320000000000055</x:v>
      </x:c>
    </x:row>
    <x:row r="34" ht="22" customHeight="1">
      <x:c r="A34" s="2"/>
      <x:c r="B34" s="2"/>
      <x:c r="C34" s="42" t="n">
        <x:f>IF(AND(ISNUMBER('Data'!C33),'Data'!C33=EOMONTH(C33,1),COUNTIF('Data'!$C$8:$C$67,'Data'!C33)=1),'Data'!C33,NA())</x:f>
        <x:v>44985</x:v>
      </x:c>
      <x:c r="D34" s="34" t="n">
        <x:f>IF(AND(ISNUMBER(C34),ISNUMBER('Data'!D33),'Data'!D33&gt;-1),'Data'!D33,NA())</x:f>
        <x:v>-0.02440751</x:v>
      </x:c>
      <x:c r="E34" s="34" t="n">
        <x:f>IF(AND(ISNUMBER(C34),ISNUMBER('Data'!E33),'Data'!E33&gt;-1),'Data'!E33,NA())</x:f>
        <x:v>-0.03</x:v>
      </x:c>
      <x:c r="F34" s="34" t="n">
        <x:f>IF(AND(ISNUMBER(C34),ISNUMBER('Data'!F33),'Data'!F33&gt;-1),'Data'!F33,NA())</x:f>
        <x:v>-0.0258</x:v>
      </x:c>
      <x:c r="G34" s="34" t="n">
        <x:f>IF(AND(ISNUMBER(C34),ISNUMBER('Data'!G33),'Data'!G33&gt;-1),'Data'!G33,NA())</x:f>
        <x:v>-0.0518</x:v>
      </x:c>
      <x:c r="H34" s="34" t="n">
        <x:f>'Holdings'!V33</x:f>
        <x:v>-0.02871002289665392</x:v>
      </x:c>
      <x:c r="I34" s="34" t="n">
        <x:f>'Holdings'!W33</x:f>
        <x:v>-0.0249548644747124</x:v>
      </x:c>
      <x:c r="J34" s="21" t="n">
        <x:f>H34-I34</x:f>
        <x:v>-0.003755158421941518</x:v>
      </x:c>
      <x:c r="K34" s="43" t="n">
        <x:f>'Holdings'!L33</x:f>
        <x:v>99176.84099617417</x:v>
      </x:c>
      <x:c r="L34" s="43" t="n">
        <x:f>'Holdings'!U33</x:f>
        <x:v>99783.23519111626</x:v>
      </x:c>
      <x:c r="M34" s="44" t="n">
        <x:f>MAX(M33,K34)</x:f>
        <x:v>112303.95114197806</x:v>
      </x:c>
      <x:c r="N34" s="21" t="n">
        <x:f>K34/M34-1</x:f>
        <x:v>-0.11688912110677385</x:v>
      </x:c>
      <x:c r="O34" s="44" t="n">
        <x:f>MAX(O33,L34)</x:f>
        <x:v>115874.50502594936</x:v>
      </x:c>
      <x:c r="P34" s="21" t="n">
        <x:f>L34/O34-1</x:f>
        <x:v>-0.13886807828201353</x:v>
      </x:c>
      <x:c r="Q34" s="34" t="n">
        <x:f>'Holdings'!X33/K33</x:f>
        <x:v>-0.009807530994571226</x:v>
      </x:c>
      <x:c r="R34" s="34" t="n">
        <x:f>'Holdings'!Y33/K33</x:f>
        <x:v>-0.006152628537998184</x:v>
      </x:c>
      <x:c r="S34" s="34" t="n">
        <x:f>'Holdings'!Z33/K33</x:f>
        <x:v>-0.007553543889273869</x:v>
      </x:c>
      <x:c r="T34" s="34" t="n">
        <x:f>'Holdings'!AA33/K33</x:f>
        <x:v>-0.005196319474810546</x:v>
      </x:c>
    </x:row>
    <x:row r="35" ht="22" customHeight="1">
      <x:c r="A35" s="2"/>
      <x:c r="B35" s="2"/>
      <x:c r="C35" s="42" t="n">
        <x:f>IF(AND(ISNUMBER('Data'!C34),'Data'!C34=EOMONTH(C34,1),COUNTIF('Data'!$C$8:$C$67,'Data'!C34)=1),'Data'!C34,NA())</x:f>
        <x:v>45016</x:v>
      </x:c>
      <x:c r="D35" s="34" t="n">
        <x:f>IF(AND(ISNUMBER(C35),ISNUMBER('Data'!D34),'Data'!D34&gt;-1),'Data'!D34,NA())</x:f>
        <x:v>0.03669972</x:v>
      </x:c>
      <x:c r="E35" s="34" t="n">
        <x:f>IF(AND(ISNUMBER(C35),ISNUMBER('Data'!E34),'Data'!E34&gt;-1),'Data'!E34,NA())</x:f>
        <x:v>0.0276</x:v>
      </x:c>
      <x:c r="F35" s="34" t="n">
        <x:f>IF(AND(ISNUMBER(C35),ISNUMBER('Data'!F34),'Data'!F34&gt;-1),'Data'!F34,NA())</x:f>
        <x:v>0.0254</x:v>
      </x:c>
      <x:c r="G35" s="34" t="n">
        <x:f>IF(AND(ISNUMBER(C35),ISNUMBER('Data'!G34),'Data'!G34&gt;-1),'Data'!G34,NA())</x:f>
        <x:v>0.08478</x:v>
      </x:c>
      <x:c r="H35" s="34" t="n">
        <x:f>'Holdings'!V34</x:f>
        <x:v>0.03622631058627812</x:v>
      </x:c>
      <x:c r="I35" s="34" t="n">
        <x:f>'Holdings'!W34</x:f>
        <x:v>0.03226192051744814</x:v>
      </x:c>
      <x:c r="J35" s="21" t="n">
        <x:f>H35-I35</x:f>
        <x:v>0.003964390068829982</x:v>
      </x:c>
      <x:c r="K35" s="43" t="n">
        <x:f>'Holdings'!L34</x:f>
        <x:v>102769.6520410675</x:v>
      </x:c>
      <x:c r="L35" s="43" t="n">
        <x:f>'Holdings'!U34</x:f>
        <x:v>103002.43399382588</x:v>
      </x:c>
      <x:c r="M35" s="44" t="n">
        <x:f>MAX(M34,K35)</x:f>
        <x:v>112303.95114197806</x:v>
      </x:c>
      <x:c r="N35" s="21" t="n">
        <x:f>K35/M35-1</x:f>
        <x:v>-0.08489727212586684</x:v>
      </x:c>
      <x:c r="O35" s="44" t="n">
        <x:f>MAX(O34,L35)</x:f>
        <x:v>115874.50502594936</x:v>
      </x:c>
      <x:c r="P35" s="21" t="n">
        <x:f>L35/O35-1</x:f>
        <x:v>-0.11108630866851044</x:v>
      </x:c>
      <x:c r="Q35" s="34" t="n">
        <x:f>'Holdings'!X34/K34</x:f>
        <x:v>0.014812163781595625</x:v>
      </x:c>
      <x:c r="R35" s="34" t="n">
        <x:f>'Holdings'!Y34/K34</x:f>
        <x:v>0.005652900613351427</x:v>
      </x:c>
      <x:c r="S35" s="34" t="n">
        <x:f>'Holdings'!Z34/K34</x:f>
        <x:v>0.0074587145318909046</x:v>
      </x:c>
      <x:c r="T35" s="34" t="n">
        <x:f>'Holdings'!AA34/K34</x:f>
        <x:v>0.008302531659440084</x:v>
      </x:c>
    </x:row>
    <x:row r="36" ht="22" customHeight="1">
      <x:c r="A36" s="2"/>
      <x:c r="B36" s="2"/>
      <x:c r="C36" s="42" t="n">
        <x:f>IF(AND(ISNUMBER('Data'!C35),'Data'!C35=EOMONTH(C35,1),COUNTIF('Data'!$C$8:$C$67,'Data'!C35)=1),'Data'!C35,NA())</x:f>
        <x:v>45046</x:v>
      </x:c>
      <x:c r="D36" s="34" t="n">
        <x:f>IF(AND(ISNUMBER(C36),ISNUMBER('Data'!D35),'Data'!D35&gt;-1),'Data'!D35,NA())</x:f>
        <x:v>0.01560376</x:v>
      </x:c>
      <x:c r="E36" s="34" t="n">
        <x:f>IF(AND(ISNUMBER(C36),ISNUMBER('Data'!E35),'Data'!E35&gt;-1),'Data'!E35,NA())</x:f>
        <x:v>0.027000000000000003</x:v>
      </x:c>
      <x:c r="F36" s="34" t="n">
        <x:f>IF(AND(ISNUMBER(C36),ISNUMBER('Data'!F35),'Data'!F35&gt;-1),'Data'!F35,NA())</x:f>
        <x:v>0.0059</x:v>
      </x:c>
      <x:c r="G36" s="34" t="n">
        <x:f>IF(AND(ISNUMBER(C36),ISNUMBER('Data'!G35),'Data'!G35&gt;-1),'Data'!G35,NA())</x:f>
        <x:v>0.00125</x:v>
      </x:c>
      <x:c r="H36" s="34" t="n">
        <x:f>'Holdings'!V35</x:f>
        <x:v>0.013536504000000171</x:v>
      </x:c>
      <x:c r="I36" s="34" t="n">
        <x:f>'Holdings'!W35</x:f>
        <x:v>0.011722256000000097</x:v>
      </x:c>
      <x:c r="J36" s="21" t="n">
        <x:f>H36-I36</x:f>
        <x:v>0.0018142480000000738</x:v>
      </x:c>
      <x:c r="K36" s="43" t="n">
        <x:f>'Holdings'!L35</x:f>
        <x:v>104160.79384700004</x:v>
      </x:c>
      <x:c r="L36" s="43" t="n">
        <x:f>'Holdings'!U35</x:f>
        <x:v>104209.85489372461</x:v>
      </x:c>
      <x:c r="M36" s="44" t="n">
        <x:f>MAX(M35,K36)</x:f>
        <x:v>112303.95114197806</x:v>
      </x:c>
      <x:c r="N36" s="21" t="n">
        <x:f>K36/M36-1</x:f>
        <x:v>-0.07250998038958756</x:v>
      </x:c>
      <x:c r="O36" s="44" t="n">
        <x:f>MAX(O35,L36)</x:f>
        <x:v>115874.50502594936</x:v>
      </x:c>
      <x:c r="P36" s="21" t="n">
        <x:f>L36/O36-1</x:f>
        <x:v>-0.1006662348168178</x:v>
      </x:c>
      <x:c r="Q36" s="34" t="n">
        <x:f>'Holdings'!X35/K35</x:f>
        <x:v>0.006241504000000045</x:v>
      </x:c>
      <x:c r="R36" s="34" t="n">
        <x:f>'Holdings'!Y35/K35</x:f>
        <x:v>0.0053999999999999725</x:v>
      </x:c>
      <x:c r="S36" s="34" t="n">
        <x:f>'Holdings'!Z35/K35</x:f>
        <x:v>0.0017700000000000033</x:v>
      </x:c>
      <x:c r="T36" s="34" t="n">
        <x:f>'Holdings'!AA35/K35</x:f>
        <x:v>0.00012500000000000084</x:v>
      </x:c>
    </x:row>
    <x:row r="37" ht="22" customHeight="1">
      <x:c r="A37" s="2"/>
      <x:c r="B37" s="2"/>
      <x:c r="C37" s="42" t="n">
        <x:f>IF(AND(ISNUMBER('Data'!C36),'Data'!C36=EOMONTH(C36,1),COUNTIF('Data'!$C$8:$C$67,'Data'!C36)=1),'Data'!C36,NA())</x:f>
        <x:v>45077</x:v>
      </x:c>
      <x:c r="D37" s="34" t="n">
        <x:f>IF(AND(ISNUMBER(C37),ISNUMBER('Data'!D36),'Data'!D36&gt;-1),'Data'!D36,NA())</x:f>
        <x:v>0.00430574</x:v>
      </x:c>
      <x:c r="E37" s="34" t="n">
        <x:f>IF(AND(ISNUMBER(C37),ISNUMBER('Data'!E36),'Data'!E36&gt;-1),'Data'!E36,NA())</x:f>
        <x:v>-0.039</x:v>
      </x:c>
      <x:c r="F37" s="34" t="n">
        <x:f>IF(AND(ISNUMBER(C37),ISNUMBER('Data'!F36),'Data'!F36&gt;-1),'Data'!F36,NA())</x:f>
        <x:v>-0.0108</x:v>
      </x:c>
      <x:c r="G37" s="34" t="n">
        <x:f>IF(AND(ISNUMBER(C37),ISNUMBER('Data'!G36),'Data'!G36&gt;-1),'Data'!G36,NA())</x:f>
        <x:v>-0.00938</x:v>
      </x:c>
      <x:c r="H37" s="34" t="n">
        <x:f>'Holdings'!V36</x:f>
        <x:v>-0.01032002119833575</x:v>
      </x:c>
      <x:c r="I37" s="34" t="n">
        <x:f>'Holdings'!W36</x:f>
        <x:v>-0.0017017838143225106</x:v>
      </x:c>
      <x:c r="J37" s="21" t="n">
        <x:f>H37-I37</x:f>
        <x:v>-0.008618237384013239</x:v>
      </x:c>
      <x:c r="K37" s="43" t="n">
        <x:f>'Holdings'!L36</x:f>
        <x:v>103085.85224646352</x:v>
      </x:c>
      <x:c r="L37" s="43" t="n">
        <x:f>'Holdings'!U36</x:f>
        <x:v>104032.51224937357</x:v>
      </x:c>
      <x:c r="M37" s="44" t="n">
        <x:f>MAX(M36,K37)</x:f>
        <x:v>112303.95114197806</x:v>
      </x:c>
      <x:c r="N37" s="21" t="n">
        <x:f>K37/M37-1</x:f>
        <x:v>-0.08208169705321178</x:v>
      </x:c>
      <x:c r="O37" s="44" t="n">
        <x:f>MAX(O36,L37)</x:f>
        <x:v>115874.50502594936</x:v>
      </x:c>
      <x:c r="P37" s="21" t="n">
        <x:f>L37/O37-1</x:f>
        <x:v>-0.10219670646208023</x:v>
      </x:c>
      <x:c r="Q37" s="34" t="n">
        <x:f>'Holdings'!X36/K36</x:f>
        <x:v>0.0017258088746973876</x:v>
      </x:c>
      <x:c r="R37" s="34" t="n">
        <x:f>'Holdings'!Y36/K36</x:f>
        <x:v>-0.007903612714870705</x:v>
      </x:c>
      <x:c r="S37" s="34" t="n">
        <x:f>'Holdings'!Z36/K36</x:f>
        <x:v>-0.003215588177769282</x:v>
      </x:c>
      <x:c r="T37" s="34" t="n">
        <x:f>'Holdings'!AA36/K36</x:f>
        <x:v>-0.0009266291803930785</x:v>
      </x:c>
    </x:row>
    <x:row r="38" ht="22" customHeight="1">
      <x:c r="A38" s="2"/>
      <x:c r="B38" s="2"/>
      <x:c r="C38" s="42" t="n">
        <x:f>IF(AND(ISNUMBER('Data'!C37),'Data'!C37=EOMONTH(C37,1),COUNTIF('Data'!$C$8:$C$67,'Data'!C37)=1),'Data'!C37,NA())</x:f>
        <x:v>45107</x:v>
      </x:c>
      <x:c r="D38" s="34" t="n">
        <x:f>IF(AND(ISNUMBER(C38),ISNUMBER('Data'!D37),'Data'!D37&gt;-1),'Data'!D37,NA())</x:f>
        <x:v>0.06603895</x:v>
      </x:c>
      <x:c r="E38" s="34" t="n">
        <x:f>IF(AND(ISNUMBER(C38),ISNUMBER('Data'!E37),'Data'!E37&gt;-1),'Data'!E37,NA())</x:f>
        <x:v>0.042800000000000005</x:v>
      </x:c>
      <x:c r="F38" s="34" t="n">
        <x:f>IF(AND(ISNUMBER(C38),ISNUMBER('Data'!F37),'Data'!F37&gt;-1),'Data'!F37,NA())</x:f>
        <x:v>-0.0036</x:v>
      </x:c>
      <x:c r="G38" s="34" t="n">
        <x:f>IF(AND(ISNUMBER(C38),ISNUMBER('Data'!G37),'Data'!G37&gt;-1),'Data'!G37,NA())</x:f>
        <x:v>-0.02675</x:v>
      </x:c>
      <x:c r="H38" s="34" t="n">
        <x:f>'Holdings'!V37</x:f>
        <x:v>0.03156655845350809</x:v>
      </x:c>
      <x:c r="I38" s="34" t="n">
        <x:f>'Holdings'!W37</x:f>
        <x:v>0.0385960803606511</x:v>
      </x:c>
      <x:c r="J38" s="21" t="n">
        <x:f>H38-I38</x:f>
        <x:v>-0.00702952190714301</x:v>
      </x:c>
      <x:c r="K38" s="43" t="n">
        <x:f>'Holdings'!L37</x:f>
        <x:v>106339.9178271312</x:v>
      </x:c>
      <x:c r="L38" s="43" t="n">
        <x:f>'Holdings'!U37</x:f>
        <x:v>108047.75945227081</x:v>
      </x:c>
      <x:c r="M38" s="44" t="n">
        <x:f>MAX(M37,K38)</x:f>
        <x:v>112303.95114197806</x:v>
      </x:c>
      <x:c r="N38" s="21" t="n">
        <x:f>K38/M38-1</x:f>
        <x:v>-0.05310617528769712</x:v>
      </x:c>
      <x:c r="O38" s="44" t="n">
        <x:f>MAX(O37,L38)</x:f>
        <x:v>115874.50502594936</x:v>
      </x:c>
      <x:c r="P38" s="21" t="n">
        <x:f>L38/O38-1</x:f>
        <x:v>-0.06754501839663352</x:v>
      </x:c>
      <x:c r="Q38" s="34" t="n">
        <x:f>'Holdings'!X37/K37</x:f>
        <x:v>0.026860631331247702</x:v>
      </x:c>
      <x:c r="R38" s="34" t="n">
        <x:f>'Holdings'!Y37/K37</x:f>
        <x:v>0.008422352545341195</x:v>
      </x:c>
      <x:c r="S38" s="34" t="n">
        <x:f>'Holdings'!Z37/K37</x:f>
        <x:v>-0.0010713428898167239</x:v>
      </x:c>
      <x:c r="T38" s="34" t="n">
        <x:f>'Holdings'!AA37/K37</x:f>
        <x:v>-0.002645082533264199</x:v>
      </x:c>
    </x:row>
    <x:row r="39" ht="22" customHeight="1">
      <x:c r="A39" s="2"/>
      <x:c r="B39" s="2"/>
      <x:c r="C39" s="42" t="n">
        <x:f>IF(AND(ISNUMBER('Data'!C38),'Data'!C38=EOMONTH(C38,1),COUNTIF('Data'!$C$8:$C$67,'Data'!C38)=1),'Data'!C38,NA())</x:f>
        <x:v>45138</x:v>
      </x:c>
      <x:c r="D39" s="34" t="n">
        <x:f>IF(AND(ISNUMBER(C39),ISNUMBER('Data'!D38),'Data'!D38&gt;-1),'Data'!D38,NA())</x:f>
        <x:v>0.03211989</x:v>
      </x:c>
      <x:c r="E39" s="34" t="n">
        <x:f>IF(AND(ISNUMBER(C39),ISNUMBER('Data'!E38),'Data'!E38&gt;-1),'Data'!E38,NA())</x:f>
        <x:v>0.0292</x:v>
      </x:c>
      <x:c r="F39" s="34" t="n">
        <x:f>IF(AND(ISNUMBER(C39),ISNUMBER('Data'!F38),'Data'!F38&gt;-1),'Data'!F38,NA())</x:f>
        <x:v>-0.0007000000000000001</x:v>
      </x:c>
      <x:c r="G39" s="34" t="n">
        <x:f>IF(AND(ISNUMBER(C39),ISNUMBER('Data'!G38),'Data'!G38&gt;-1),'Data'!G38,NA())</x:f>
        <x:v>0.03032</x:v>
      </x:c>
      <x:c r="H39" s="34" t="n">
        <x:f>'Holdings'!V38</x:f>
        <x:v>0.021509956000000052</x:v>
      </x:c>
      <x:c r="I39" s="34" t="n">
        <x:f>'Holdings'!W38</x:f>
        <x:v>0.018991933999999988</x:v>
      </x:c>
      <x:c r="J39" s="21" t="n">
        <x:f>H39-I39</x:f>
        <x:v>0.002518022000000064</x:v>
      </x:c>
      <x:c r="K39" s="43" t="n">
        <x:f>'Holdings'!L38</x:f>
        <x:v>108627.28478063642</x:v>
      </x:c>
      <x:c r="L39" s="43" t="n">
        <x:f>'Holdings'!U38</x:f>
        <x:v>110099.7953686362</x:v>
      </x:c>
      <x:c r="M39" s="44" t="n">
        <x:f>MAX(M38,K39)</x:f>
        <x:v>112303.95114197806</x:v>
      </x:c>
      <x:c r="N39" s="21" t="n">
        <x:f>K39/M39-1</x:f>
        <x:v>-0.032738530781463715</x:v>
      </x:c>
      <x:c r="O39" s="44" t="n">
        <x:f>MAX(O38,L39)</x:f>
        <x:v>115874.50502594936</x:v>
      </x:c>
      <x:c r="P39" s="21" t="n">
        <x:f>L39/O39-1</x:f>
        <x:v>-0.04983589492805118</x:v>
      </x:c>
      <x:c r="Q39" s="34" t="n">
        <x:f>'Holdings'!X38/K38</x:f>
        <x:v>0.012847955999999973</x:v>
      </x:c>
      <x:c r="R39" s="34" t="n">
        <x:f>'Holdings'!Y38/K38</x:f>
        <x:v>0.005839999999999978</x:v>
      </x:c>
      <x:c r="S39" s="34" t="n">
        <x:f>'Holdings'!Z38/K38</x:f>
        <x:v>-0.00021000000000000196</x:v>
      </x:c>
      <x:c r="T39" s="34" t="n">
        <x:f>'Holdings'!AA38/K38</x:f>
        <x:v>0.003031999999999992</x:v>
      </x:c>
    </x:row>
    <x:row r="40" ht="22" customHeight="1">
      <x:c r="A40" s="2"/>
      <x:c r="B40" s="2"/>
      <x:c r="C40" s="42" t="n">
        <x:f>IF(AND(ISNUMBER('Data'!C39),'Data'!C39=EOMONTH(C39,1),COUNTIF('Data'!$C$8:$C$67,'Data'!C39)=1),'Data'!C39,NA())</x:f>
        <x:v>45169</x:v>
      </x:c>
      <x:c r="D40" s="34" t="n">
        <x:f>IF(AND(ISNUMBER(C40),ISNUMBER('Data'!D39),'Data'!D39&gt;-1),'Data'!D39,NA())</x:f>
        <x:v>-0.01584446</x:v>
      </x:c>
      <x:c r="E40" s="34" t="n">
        <x:f>IF(AND(ISNUMBER(C40),ISNUMBER('Data'!E39),'Data'!E39&gt;-1),'Data'!E39,NA())</x:f>
        <x:v>-0.038599999999999995</x:v>
      </x:c>
      <x:c r="F40" s="34" t="n">
        <x:f>IF(AND(ISNUMBER(C40),ISNUMBER('Data'!F39),'Data'!F39&gt;-1),'Data'!F39,NA())</x:f>
        <x:v>-0.0064</x:v>
      </x:c>
      <x:c r="G40" s="34" t="n">
        <x:f>IF(AND(ISNUMBER(C40),ISNUMBER('Data'!G39),'Data'!G39&gt;-1),'Data'!G39,NA())</x:f>
        <x:v>-0.0146</x:v>
      </x:c>
      <x:c r="H40" s="34" t="n">
        <x:f>'Holdings'!V39</x:f>
        <x:v>-0.017532575203724976</x:v>
      </x:c>
      <x:c r="I40" s="34" t="n">
        <x:f>'Holdings'!W39</x:f>
        <x:v>-0.012139681360211374</x:v>
      </x:c>
      <x:c r="J40" s="21" t="n">
        <x:f>H40-I40</x:f>
        <x:v>-0.005392893843513602</x:v>
      </x:c>
      <x:c r="K40" s="43" t="n">
        <x:f>'Holdings'!L39</x:f>
        <x:v>106722.76874104346</x:v>
      </x:c>
      <x:c r="L40" s="43" t="n">
        <x:f>'Holdings'!U39</x:f>
        <x:v>108763.21893503648</x:v>
      </x:c>
      <x:c r="M40" s="44" t="n">
        <x:f>MAX(M39,K40)</x:f>
        <x:v>112303.95114197806</x:v>
      </x:c>
      <x:c r="N40" s="21" t="n">
        <x:f>K40/M40-1</x:f>
        <x:v>-0.049697115232203215</x:v>
      </x:c>
      <x:c r="O40" s="44" t="n">
        <x:f>MAX(O39,L40)</x:f>
        <x:v>115874.50502594936</x:v>
      </x:c>
      <x:c r="P40" s="21" t="n">
        <x:f>L40/O40-1</x:f>
        <x:v>-0.061370584403535156</x:v>
      </x:c>
      <x:c r="Q40" s="34" t="n">
        <x:f>'Holdings'!X39/K39</x:f>
        <x:v>-0.006403611522826626</x:v>
      </x:c>
      <x:c r="R40" s="34" t="n">
        <x:f>'Holdings'!Y39/K39</x:f>
        <x:v>-0.007778117044607628</x:v>
      </x:c>
      <x:c r="S40" s="34" t="n">
        <x:f>'Holdings'!Z39/K39</x:f>
        <x:v>-0.0018782548214341488</x:v>
      </x:c>
      <x:c r="T40" s="34" t="n">
        <x:f>'Holdings'!AA39/K39</x:f>
        <x:v>-0.0014725918148564769</x:v>
      </x:c>
    </x:row>
    <x:row r="41" ht="22" customHeight="1">
      <x:c r="A41" s="2"/>
      <x:c r="B41" s="2"/>
      <x:c r="C41" s="42" t="n">
        <x:f>IF(AND(ISNUMBER('Data'!C40),'Data'!C40=EOMONTH(C40,1),COUNTIF('Data'!$C$8:$C$67,'Data'!C40)=1),'Data'!C40,NA())</x:f>
        <x:v>45199</x:v>
      </x:c>
      <x:c r="D41" s="34" t="n">
        <x:f>IF(AND(ISNUMBER(C41),ISNUMBER('Data'!D40),'Data'!D40&gt;-1),'Data'!D40,NA())</x:f>
        <x:v>-0.047686450000000005</x:v>
      </x:c>
      <x:c r="E41" s="34" t="n">
        <x:f>IF(AND(ISNUMBER(C41),ISNUMBER('Data'!E40),'Data'!E40&gt;-1),'Data'!E40,NA())</x:f>
        <x:v>-0.037200000000000004</x:v>
      </x:c>
      <x:c r="F41" s="34" t="n">
        <x:f>IF(AND(ISNUMBER(C41),ISNUMBER('Data'!F40),'Data'!F40&gt;-1),'Data'!F40,NA())</x:f>
        <x:v>-0.0253</x:v>
      </x:c>
      <x:c r="G41" s="34" t="n">
        <x:f>IF(AND(ISNUMBER(C41),ISNUMBER('Data'!G40),'Data'!G40&gt;-1),'Data'!G40,NA())</x:f>
        <x:v>-0.03716</x:v>
      </x:c>
      <x:c r="H41" s="34" t="n">
        <x:f>'Holdings'!V40</x:f>
        <x:v>-0.03790942964665123</x:v>
      </x:c>
      <x:c r="I41" s="34" t="n">
        <x:f>'Holdings'!W40</x:f>
        <x:v>-0.03885389390823524</x:v>
      </x:c>
      <x:c r="J41" s="21" t="n">
        <x:f>H41-I41</x:f>
        <x:v>0.0009444642615840104</x:v>
      </x:c>
      <x:c r="K41" s="43" t="n">
        <x:f>'Holdings'!L40</x:f>
        <x:v>102676.96944775904</x:v>
      </x:c>
      <x:c r="L41" s="43" t="n">
        <x:f>'Holdings'!U40</x:f>
        <x:v>104537.34436541641</x:v>
      </x:c>
      <x:c r="M41" s="44" t="n">
        <x:f>MAX(M40,K41)</x:f>
        <x:v>112303.95114197806</x:v>
      </x:c>
      <x:c r="N41" s="21" t="n">
        <x:f>K41/M41-1</x:f>
        <x:v>-0.08572255558531772</x:v>
      </x:c>
      <x:c r="O41" s="44" t="n">
        <x:f>MAX(O40,L41)</x:f>
        <x:v>115874.50502594936</x:v>
      </x:c>
      <x:c r="P41" s="21" t="n">
        <x:f>L41/O41-1</x:f>
        <x:v>-0.09783999213626893</x:v>
      </x:c>
      <x:c r="Q41" s="34" t="n">
        <x:f>'Holdings'!X40/K40</x:f>
        <x:v>-0.019305813643217384</x:v>
      </x:c>
      <x:c r="R41" s="34" t="n">
        <x:f>'Holdings'!Y40/K40</x:f>
        <x:v>-0.007335269380517511</x:v>
      </x:c>
      <x:c r="S41" s="34" t="n">
        <x:f>'Holdings'!Z40/K40</x:f>
        <x:v>-0.007509110284780628</x:v>
      </x:c>
      <x:c r="T41" s="34" t="n">
        <x:f>'Holdings'!AA40/K40</x:f>
        <x:v>-0.0037592363381358184</x:v>
      </x:c>
    </x:row>
    <x:row r="42" ht="22" customHeight="1">
      <x:c r="A42" s="2"/>
      <x:c r="B42" s="2"/>
      <x:c r="C42" s="42" t="n">
        <x:f>IF(AND(ISNUMBER('Data'!C41),'Data'!C41=EOMONTH(C41,1),COUNTIF('Data'!$C$8:$C$67,'Data'!C41)=1),'Data'!C41,NA())</x:f>
        <x:v>45230</x:v>
      </x:c>
      <x:c r="D42" s="34" t="n">
        <x:f>IF(AND(ISNUMBER(C42),ISNUMBER('Data'!D41),'Data'!D41&gt;-1),'Data'!D41,NA())</x:f>
        <x:v>-0.02104146</x:v>
      </x:c>
      <x:c r="E42" s="34" t="n">
        <x:f>IF(AND(ISNUMBER(C42),ISNUMBER('Data'!E41),'Data'!E41&gt;-1),'Data'!E41,NA())</x:f>
        <x:v>-0.0332</x:v>
      </x:c>
      <x:c r="F42" s="34" t="n">
        <x:f>IF(AND(ISNUMBER(C42),ISNUMBER('Data'!F41),'Data'!F41&gt;-1),'Data'!F41,NA())</x:f>
        <x:v>-0.015700000000000002</x:v>
      </x:c>
      <x:c r="G42" s="34" t="n">
        <x:f>IF(AND(ISNUMBER(C42),ISNUMBER('Data'!G41),'Data'!G41&gt;-1),'Data'!G41,NA())</x:f>
        <x:v>0.06735000000000001</x:v>
      </x:c>
      <x:c r="H42" s="34" t="n">
        <x:f>'Holdings'!V41</x:f>
        <x:v>-0.01303158400000004</x:v>
      </x:c>
      <x:c r="I42" s="34" t="n">
        <x:f>'Holdings'!W41</x:f>
        <x:v>-0.018904876000000015</x:v>
      </x:c>
      <x:c r="J42" s="21" t="n">
        <x:f>H42-I42</x:f>
        <x:v>0.005873291999999974</x:v>
      </x:c>
      <x:c r="K42" s="43" t="n">
        <x:f>'Holdings'!L41</x:f>
        <x:v>101338.92589553513</x:v>
      </x:c>
      <x:c r="L42" s="43" t="n">
        <x:f>'Holdings'!U41</x:f>
        <x:v>102561.07883281892</x:v>
      </x:c>
      <x:c r="M42" s="44" t="n">
        <x:f>MAX(M41,K42)</x:f>
        <x:v>112303.95114197806</x:v>
      </x:c>
      <x:c r="N42" s="21" t="n">
        <x:f>K42/M42-1</x:f>
        <x:v>-0.0976370389015131</x:v>
      </x:c>
      <x:c r="O42" s="44" t="n">
        <x:f>MAX(O41,L42)</x:f>
        <x:v>115874.50502594936</x:v>
      </x:c>
      <x:c r="P42" s="21" t="n">
        <x:f>L42/O42-1</x:f>
        <x:v>-0.11489521521709178</x:v>
      </x:c>
      <x:c r="Q42" s="34" t="n">
        <x:f>'Holdings'!X41/K41</x:f>
        <x:v>-0.008416583999999977</x:v>
      </x:c>
      <x:c r="R42" s="34" t="n">
        <x:f>'Holdings'!Y41/K41</x:f>
        <x:v>-0.006639999999999993</x:v>
      </x:c>
      <x:c r="S42" s="34" t="n">
        <x:f>'Holdings'!Z41/K41</x:f>
        <x:v>-0.004710000000000007</x:v>
      </x:c>
      <x:c r="T42" s="34" t="n">
        <x:f>'Holdings'!AA41/K41</x:f>
        <x:v>0.00673500000000001</x:v>
      </x:c>
    </x:row>
    <x:row r="43" ht="22" customHeight="1">
      <x:c r="A43" s="2"/>
      <x:c r="B43" s="2"/>
      <x:c r="C43" s="42" t="n">
        <x:f>IF(AND(ISNUMBER('Data'!C42),'Data'!C42=EOMONTH(C42,1),COUNTIF('Data'!$C$8:$C$67,'Data'!C42)=1),'Data'!C42,NA())</x:f>
        <x:v>45260</x:v>
      </x:c>
      <x:c r="D43" s="34" t="n">
        <x:f>IF(AND(ISNUMBER(C43),ISNUMBER('Data'!D42),'Data'!D42&gt;-1),'Data'!D42,NA())</x:f>
        <x:v>0.09130598000000001</x:v>
      </x:c>
      <x:c r="E43" s="34" t="n">
        <x:f>IF(AND(ISNUMBER(C43),ISNUMBER('Data'!E42),'Data'!E42&gt;-1),'Data'!E42,NA())</x:f>
        <x:v>0.0864</x:v>
      </x:c>
      <x:c r="F43" s="34" t="n">
        <x:f>IF(AND(ISNUMBER(C43),ISNUMBER('Data'!F42),'Data'!F42&gt;-1),'Data'!F42,NA())</x:f>
        <x:v>0.0451</x:v>
      </x:c>
      <x:c r="G43" s="34" t="n">
        <x:f>IF(AND(ISNUMBER(C43),ISNUMBER('Data'!G42),'Data'!G42&gt;-1),'Data'!G42,NA())</x:f>
        <x:v>0.0191</x:v>
      </x:c>
      <x:c r="H43" s="34" t="n">
        <x:f>'Holdings'!V42</x:f>
        <x:v>0.06871185333820029</x:v>
      </x:c>
      <x:c r="I43" s="34" t="n">
        <x:f>'Holdings'!W42</x:f>
        <x:v>0.07276321284055376</x:v>
      </x:c>
      <x:c r="J43" s="21" t="n">
        <x:f>H43-I43</x:f>
        <x:v>-0.004051359502353469</x:v>
      </x:c>
      <x:c r="K43" s="43" t="n">
        <x:f>'Holdings'!L42</x:f>
        <x:v>108302.11130911988</x:v>
      </x:c>
      <x:c r="L43" s="43" t="n">
        <x:f>'Holdings'!U42</x:f>
        <x:v>110023.75244108813</x:v>
      </x:c>
      <x:c r="M43" s="44" t="n">
        <x:f>MAX(M42,K43)</x:f>
        <x:v>112303.95114197806</x:v>
      </x:c>
      <x:c r="N43" s="21" t="n">
        <x:f>K43/M43-1</x:f>
        <x:v>-0.03563400746068979</x:v>
      </x:c>
      <x:c r="O43" s="44" t="n">
        <x:f>MAX(O42,L43)</x:f>
        <x:v>115874.50502594936</x:v>
      </x:c>
      <x:c r="P43" s="21" t="n">
        <x:f>L43/O43-1</x:f>
        <x:v>-0.05049214737574059</x:v>
      </x:c>
      <x:c r="Q43" s="34" t="n">
        <x:f>'Holdings'!X42/K42</x:f>
        <x:v>0.03622598957576741</x:v>
      </x:c>
      <x:c r="R43" s="34" t="n">
        <x:f>'Holdings'!Y42/K42</x:f>
        <x:v>0.016926888164980572</x:v>
      </x:c>
      <x:c r="S43" s="34" t="n">
        <x:f>'Holdings'!Z42/K42</x:f>
        <x:v>0.013493419631373479</x:v>
      </x:c>
      <x:c r="T43" s="34" t="n">
        <x:f>'Holdings'!AA42/K42</x:f>
        <x:v>0.002065555966078647</x:v>
      </x:c>
    </x:row>
    <x:row r="44" ht="22" customHeight="1">
      <x:c r="A44" s="2"/>
      <x:c r="B44" s="2"/>
      <x:c r="C44" s="53" t="n">
        <x:f>IF(AND(ISNUMBER('Data'!C43),'Data'!C43=EOMONTH(C43,1),COUNTIF('Data'!$C$8:$C$67,'Data'!C43)=1),'Data'!C43,NA())</x:f>
        <x:v>45291</x:v>
      </x:c>
      <x:c r="D44" s="54" t="n">
        <x:f>IF(AND(ISNUMBER(C44),ISNUMBER('Data'!D43),'Data'!D43&gt;-1),'Data'!D43,NA())</x:f>
        <x:v>0.04540701999999999</x:v>
      </x:c>
      <x:c r="E44" s="54" t="n">
        <x:f>IF(AND(ISNUMBER(C44),ISNUMBER('Data'!E43),'Data'!E43&gt;-1),'Data'!E43,NA())</x:f>
        <x:v>0.056299999999999996</x:v>
      </x:c>
      <x:c r="F44" s="54" t="n">
        <x:f>IF(AND(ISNUMBER(C44),ISNUMBER('Data'!F43),'Data'!F43&gt;-1),'Data'!F43,NA())</x:f>
        <x:v>0.0371</x:v>
      </x:c>
      <x:c r="G44" s="54" t="n">
        <x:f>IF(AND(ISNUMBER(C44),ISNUMBER('Data'!G43),'Data'!G43&gt;-1),'Data'!G43,NA())</x:f>
        <x:v>0.013040000000000001</x:v>
      </x:c>
      <x:c r="H44" s="54" t="n">
        <x:f>'Holdings'!V43</x:f>
        <x:v>0.04180814404593525</x:v>
      </x:c>
      <x:c r="I44" s="54" t="n">
        <x:f>'Holdings'!W43</x:f>
        <x:v>0.042159322352934625</x:v>
      </x:c>
      <x:c r="J44" s="28" t="n">
        <x:f>H44-I44</x:f>
        <x:v>-0.0003511783069993779</x:v>
      </x:c>
      <x:c r="K44" s="55" t="n">
        <x:f>'Holdings'!L43</x:f>
        <x:v>112830.02157921047</x:v>
      </x:c>
      <x:c r="L44" s="55" t="n">
        <x:f>'Holdings'!U43</x:f>
        <x:v>114662.27928673144</x:v>
      </x:c>
      <x:c r="M44" s="56" t="n">
        <x:f>MAX(M43,K44)</x:f>
        <x:v>112830.02157921047</x:v>
      </x:c>
      <x:c r="N44" s="28" t="n">
        <x:f>K44/M44-1</x:f>
        <x:v>0</x:v>
      </x:c>
      <x:c r="O44" s="56" t="n">
        <x:f>MAX(O43,L44)</x:f>
        <x:v>115874.50502594936</x:v>
      </x:c>
      <x:c r="P44" s="28" t="n">
        <x:f>L44/O44-1</x:f>
        <x:v>-0.01046153974031172</x:v>
      </x:c>
      <x:c r="Q44" s="54" t="n">
        <x:f>'Holdings'!X43/K43</x:f>
        <x:v>0.018396277201206363</x:v>
      </x:c>
      <x:c r="R44" s="54" t="n">
        <x:f>'Holdings'!Y43/K43</x:f>
        <x:v>0.011212460029840063</x:v>
      </x:c>
      <x:c r="S44" s="54" t="n">
        <x:f>'Holdings'!Z43/K43</x:f>
        <x:v>0.010854669778992977</x:v>
      </x:c>
      <x:c r="T44" s="54" t="n">
        <x:f>'Holdings'!AA43/K43</x:f>
        <x:v>0.0013447370358959472</x:v>
      </x:c>
    </x:row>
    <x:row r="45" ht="22" customHeight="1">
      <x:c r="A45" s="2"/>
      <x:c r="B45" s="2"/>
      <x:c r="C45" s="42" t="n">
        <x:f>IF(AND(ISNUMBER('Data'!C44),'Data'!C44=EOMONTH(C44,1),COUNTIF('Data'!$C$8:$C$67,'Data'!C44)=1),'Data'!C44,NA())</x:f>
        <x:v>45322</x:v>
      </x:c>
      <x:c r="D45" s="34" t="n">
        <x:f>IF(AND(ISNUMBER(C45),ISNUMBER('Data'!D44),'Data'!D44&gt;-1),'Data'!D44,NA())</x:f>
        <x:v>0.01677935</x:v>
      </x:c>
      <x:c r="E45" s="34" t="n">
        <x:f>IF(AND(ISNUMBER(C45),ISNUMBER('Data'!E44),'Data'!E44&gt;-1),'Data'!E44,NA())</x:f>
        <x:v>-0.0076</x:v>
      </x:c>
      <x:c r="F45" s="34" t="n">
        <x:f>IF(AND(ISNUMBER(C45),ISNUMBER('Data'!F44),'Data'!F44&gt;-1),'Data'!F44,NA())</x:f>
        <x:v>-0.0017000000000000001</x:v>
      </x:c>
      <x:c r="G45" s="34" t="n">
        <x:f>IF(AND(ISNUMBER(C45),ISNUMBER('Data'!G44),'Data'!G44&gt;-1),'Data'!G44,NA())</x:f>
        <x:v>-0.00466</x:v>
      </x:c>
      <x:c r="H45" s="34" t="n">
        <x:f>'Holdings'!V44</x:f>
        <x:v>0.004215739999999801</x:v>
      </x:c>
      <x:c r="I45" s="34" t="n">
        <x:f>'Holdings'!W44</x:f>
        <x:v>0.00938760999999988</x:v>
      </x:c>
      <x:c r="J45" s="21" t="n">
        <x:f>H45-I45</x:f>
        <x:v>-0.005171870000000078</x:v>
      </x:c>
      <x:c r="K45" s="43" t="n">
        <x:f>'Holdings'!L44</x:f>
        <x:v>113305.6836143828</x:v>
      </x:c>
      <x:c r="L45" s="43" t="n">
        <x:f>'Holdings'!U44</x:f>
        <x:v>115738.68404638633</x:v>
      </x:c>
      <x:c r="M45" s="44" t="n">
        <x:f>MAX(M44,K45)</x:f>
        <x:v>113305.6836143828</x:v>
      </x:c>
      <x:c r="N45" s="21" t="n">
        <x:f>K45/M45-1</x:f>
        <x:v>0</x:v>
      </x:c>
      <x:c r="O45" s="44" t="n">
        <x:f>MAX(O44,L45)</x:f>
        <x:v>115874.50502594936</x:v>
      </x:c>
      <x:c r="P45" s="21" t="n">
        <x:f>L45/O45-1</x:f>
        <x:v>-0.001172138595393446</x:v>
      </x:c>
      <x:c r="Q45" s="34" t="n">
        <x:f>'Holdings'!X44/K44</x:f>
        <x:v>0.006711739999999964</x:v>
      </x:c>
      <x:c r="R45" s="34" t="n">
        <x:f>'Holdings'!Y44/K44</x:f>
        <x:v>-0.0015200000000000198</x:v>
      </x:c>
      <x:c r="S45" s="34" t="n">
        <x:f>'Holdings'!Z44/K44</x:f>
        <x:v>-0.0005100000000000238</x:v>
      </x:c>
      <x:c r="T45" s="34" t="n">
        <x:f>'Holdings'!AA44/K44</x:f>
        <x:v>-0.00046599999999999637</x:v>
      </x:c>
    </x:row>
    <x:row r="46" ht="22" customHeight="1">
      <x:c r="A46" s="2"/>
      <x:c r="B46" s="2"/>
      <x:c r="C46" s="42" t="n">
        <x:f>IF(AND(ISNUMBER('Data'!C45),'Data'!C45=EOMONTH(C45,1),COUNTIF('Data'!$C$8:$C$67,'Data'!C45)=1),'Data'!C45,NA())</x:f>
        <x:v>45351</x:v>
      </x:c>
      <x:c r="D46" s="34" t="n">
        <x:f>IF(AND(ISNUMBER(C46),ISNUMBER('Data'!D45),'Data'!D45&gt;-1),'Data'!D45,NA())</x:f>
        <x:v>0.05334902</x:v>
      </x:c>
      <x:c r="E46" s="34" t="n">
        <x:f>IF(AND(ISNUMBER(C46),ISNUMBER('Data'!E45),'Data'!E45&gt;-1),'Data'!E45,NA())</x:f>
        <x:v>0.0274</x:v>
      </x:c>
      <x:c r="F46" s="34" t="n">
        <x:f>IF(AND(ISNUMBER(C46),ISNUMBER('Data'!F45),'Data'!F45&gt;-1),'Data'!F45,NA())</x:f>
        <x:v>-0.0141</x:v>
      </x:c>
      <x:c r="G46" s="34" t="n">
        <x:f>IF(AND(ISNUMBER(C46),ISNUMBER('Data'!G45),'Data'!G45&gt;-1),'Data'!G45,NA())</x:f>
        <x:v>-0.0027300000000000002</x:v>
      </x:c>
      <x:c r="H46" s="34" t="n">
        <x:f>'Holdings'!V45</x:f>
        <x:v>0.022546438010914827</x:v>
      </x:c>
      <x:c r="I46" s="34" t="n">
        <x:f>'Holdings'!W45</x:f>
        <x:v>0.026665769284845986</x:v>
      </x:c>
      <x:c r="J46" s="21" t="n">
        <x:f>H46-I46</x:f>
        <x:v>-0.004119331273931159</x:v>
      </x:c>
      <x:c r="K46" s="43" t="n">
        <x:f>'Holdings'!L45</x:f>
        <x:v>115860.32318627881</x:v>
      </x:c>
      <x:c r="L46" s="43" t="n">
        <x:f>'Holdings'!U45</x:f>
        <x:v>118824.94509249897</x:v>
      </x:c>
      <x:c r="M46" s="44" t="n">
        <x:f>MAX(M45,K46)</x:f>
        <x:v>115860.32318627881</x:v>
      </x:c>
      <x:c r="N46" s="21" t="n">
        <x:f>K46/M46-1</x:f>
        <x:v>0</x:v>
      </x:c>
      <x:c r="O46" s="44" t="n">
        <x:f>MAX(O45,L46)</x:f>
        <x:v>118824.94509249897</x:v>
      </x:c>
      <x:c r="P46" s="21" t="n">
        <x:f>L46/O46-1</x:f>
        <x:v>0</x:v>
      </x:c>
      <x:c r="Q46" s="34" t="n">
        <x:f>'Holdings'!X45/K45</x:f>
        <x:v>0.02160658500681816</x:v>
      </x:c>
      <x:c r="R46" s="34" t="n">
        <x:f>'Holdings'!Y45/K45</x:f>
        <x:v>0.0054155215691003</x:v>
      </x:c>
      <x:c r="S46" s="34" t="n">
        <x:f>'Holdings'!Z45/K45</x:f>
        <x:v>-0.004205081469844345</x:v>
      </x:c>
      <x:c r="T46" s="34" t="n">
        <x:f>'Holdings'!AA45/K45</x:f>
        <x:v>-0.0002705870951594605</x:v>
      </x:c>
    </x:row>
    <x:row r="47" ht="22" customHeight="1">
      <x:c r="A47" s="2"/>
      <x:c r="B47" s="2"/>
      <x:c r="C47" s="42" t="n">
        <x:f>IF(AND(ISNUMBER('Data'!C46),'Data'!C46=EOMONTH(C46,1),COUNTIF('Data'!$C$8:$C$67,'Data'!C46)=1),'Data'!C46,NA())</x:f>
        <x:v>45382</x:v>
      </x:c>
      <x:c r="D47" s="34" t="n">
        <x:f>IF(AND(ISNUMBER(C47),ISNUMBER('Data'!D46),'Data'!D46&gt;-1),'Data'!D46,NA())</x:f>
        <x:v>0.032164820000000004</x:v>
      </x:c>
      <x:c r="E47" s="34" t="n">
        <x:f>IF(AND(ISNUMBER(C47),ISNUMBER('Data'!E46),'Data'!E46&gt;-1),'Data'!E46,NA())</x:f>
        <x:v>0.0332</x:v>
      </x:c>
      <x:c r="F47" s="34" t="n">
        <x:f>IF(AND(ISNUMBER(C47),ISNUMBER('Data'!F46),'Data'!F46&gt;-1),'Data'!F46,NA())</x:f>
        <x:v>0.0084</x:v>
      </x:c>
      <x:c r="G47" s="34" t="n">
        <x:f>IF(AND(ISNUMBER(C47),ISNUMBER('Data'!G46),'Data'!G46&gt;-1),'Data'!G46,NA())</x:f>
        <x:v>0.081</x:v>
      </x:c>
      <x:c r="H47" s="34" t="n">
        <x:f>'Holdings'!V46</x:f>
        <x:v>0.030257652709350324</x:v>
      </x:c>
      <x:c r="I47" s="34" t="n">
        <x:f>'Holdings'!W46</x:f>
        <x:v>0.02313661511146403</x:v>
      </x:c>
      <x:c r="J47" s="21" t="n">
        <x:f>H47-I47</x:f>
        <x:v>0.007121037597886293</x:v>
      </x:c>
      <x:c r="K47" s="43" t="n">
        <x:f>'Holdings'!L46</x:f>
        <x:v>119365.98460804233</x:v>
      </x:c>
      <x:c r="L47" s="43" t="n">
        <x:f>'Holdings'!U46</x:f>
        <x:v>121574.15211274495</x:v>
      </x:c>
      <x:c r="M47" s="44" t="n">
        <x:f>MAX(M46,K47)</x:f>
        <x:v>119365.98460804233</x:v>
      </x:c>
      <x:c r="N47" s="21" t="n">
        <x:f>K47/M47-1</x:f>
        <x:v>0</x:v>
      </x:c>
      <x:c r="O47" s="44" t="n">
        <x:f>MAX(O46,L47)</x:f>
        <x:v>121574.15211274495</x:v>
      </x:c>
      <x:c r="P47" s="21" t="n">
        <x:f>L47/O47-1</x:f>
        <x:v>0</x:v>
      </x:c>
      <x:c r="Q47" s="34" t="n">
        <x:f>'Holdings'!X46/K46</x:f>
        <x:v>0.013419306280012675</x:v>
      </x:c>
      <x:c r="R47" s="34" t="n">
        <x:f>'Holdings'!Y46/K46</x:f>
        <x:v>0.006593019070467743</x:v>
      </x:c>
      <x:c r="S47" s="34" t="n">
        <x:f>'Holdings'!Z46/K46</x:f>
        <x:v>0.002415374150305397</x:v>
      </x:c>
      <x:c r="T47" s="34" t="n">
        <x:f>'Holdings'!AA46/K46</x:f>
        <x:v>0.007829953208564644</x:v>
      </x:c>
    </x:row>
    <x:row r="48" ht="22" customHeight="1">
      <x:c r="A48" s="2"/>
      <x:c r="B48" s="2"/>
      <x:c r="C48" s="42" t="n">
        <x:f>IF(AND(ISNUMBER('Data'!C47),'Data'!C47=EOMONTH(C47,1),COUNTIF('Data'!$C$8:$C$67,'Data'!C47)=1),'Data'!C47,NA())</x:f>
        <x:v>45412</x:v>
      </x:c>
      <x:c r="D48" s="34" t="n">
        <x:f>IF(AND(ISNUMBER(C48),ISNUMBER('Data'!D47),'Data'!D47&gt;-1),'Data'!D47,NA())</x:f>
        <x:v>-0.040850090000000006</x:v>
      </x:c>
      <x:c r="E48" s="34" t="n">
        <x:f>IF(AND(ISNUMBER(C48),ISNUMBER('Data'!E47),'Data'!E47&gt;-1),'Data'!E47,NA())</x:f>
        <x:v>-0.0321</x:v>
      </x:c>
      <x:c r="F48" s="34" t="n">
        <x:f>IF(AND(ISNUMBER(C48),ISNUMBER('Data'!F47),'Data'!F47&gt;-1),'Data'!F47,NA())</x:f>
        <x:v>-0.024399999999999998</x:v>
      </x:c>
      <x:c r="G48" s="34" t="n">
        <x:f>IF(AND(ISNUMBER(C48),ISNUMBER('Data'!G47),'Data'!G47&gt;-1),'Data'!G47,NA())</x:f>
        <x:v>0.041609999999999994</x:v>
      </x:c>
      <x:c r="H48" s="34" t="n">
        <x:f>'Holdings'!V47</x:f>
        <x:v>-0.025919036000000006</x:v>
      </x:c>
      <x:c r="I48" s="34" t="n">
        <x:f>'Holdings'!W47</x:f>
        <x:v>-0.03427005399999983</x:v>
      </x:c>
      <x:c r="J48" s="21" t="n">
        <x:f>H48-I48</x:f>
        <x:v>0.008351017999999821</x:v>
      </x:c>
      <x:c r="K48" s="43" t="n">
        <x:f>'Holdings'!L47</x:f>
        <x:v>116272.13335581105</x:v>
      </x:c>
      <x:c r="L48" s="43" t="n">
        <x:f>'Holdings'!U47</x:f>
        <x:v>117407.79935483699</x:v>
      </x:c>
      <x:c r="M48" s="44" t="n">
        <x:f>MAX(M47,K48)</x:f>
        <x:v>119365.98460804233</x:v>
      </x:c>
      <x:c r="N48" s="21" t="n">
        <x:f>K48/M48-1</x:f>
        <x:v>-0.025919035999999895</x:v>
      </x:c>
      <x:c r="O48" s="44" t="n">
        <x:f>MAX(O47,L48)</x:f>
        <x:v>121574.15211274495</x:v>
      </x:c>
      <x:c r="P48" s="21" t="n">
        <x:f>L48/O48-1</x:f>
        <x:v>-0.03427005399999983</x:v>
      </x:c>
      <x:c r="Q48" s="34" t="n">
        <x:f>'Holdings'!X47/K47</x:f>
        <x:v>-0.016340036000000002</x:v>
      </x:c>
      <x:c r="R48" s="34" t="n">
        <x:f>'Holdings'!Y47/K47</x:f>
        <x:v>-0.006419999999999997</x:v>
      </x:c>
      <x:c r="S48" s="34" t="n">
        <x:f>'Holdings'!Z47/K47</x:f>
        <x:v>-0.00731999999999998</x:v>
      </x:c>
      <x:c r="T48" s="34" t="n">
        <x:f>'Holdings'!AA47/K47</x:f>
        <x:v>0.004160999999999988</x:v>
      </x:c>
    </x:row>
    <x:row r="49" ht="22" customHeight="1">
      <x:c r="A49" s="2"/>
      <x:c r="B49" s="2"/>
      <x:c r="C49" s="42" t="n">
        <x:f>IF(AND(ISNUMBER('Data'!C48),'Data'!C48=EOMONTH(C48,1),COUNTIF('Data'!$C$8:$C$67,'Data'!C48)=1),'Data'!C48,NA())</x:f>
        <x:v>45443</x:v>
      </x:c>
      <x:c r="D49" s="34" t="n">
        <x:f>IF(AND(ISNUMBER(C49),ISNUMBER('Data'!D48),'Data'!D48&gt;-1),'Data'!D48,NA())</x:f>
        <x:v>0.04957574</x:v>
      </x:c>
      <x:c r="E49" s="34" t="n">
        <x:f>IF(AND(ISNUMBER(C49),ISNUMBER('Data'!E48),'Data'!E48&gt;-1),'Data'!E48,NA())</x:f>
        <x:v>0.0526</x:v>
      </x:c>
      <x:c r="F49" s="34" t="n">
        <x:f>IF(AND(ISNUMBER(C49),ISNUMBER('Data'!F48),'Data'!F48&gt;-1),'Data'!F48,NA())</x:f>
        <x:v>0.0169</x:v>
      </x:c>
      <x:c r="G49" s="34" t="n">
        <x:f>IF(AND(ISNUMBER(C49),ISNUMBER('Data'!G48),'Data'!G48&gt;-1),'Data'!G48,NA())</x:f>
        <x:v>0.01766</x:v>
      </x:c>
      <x:c r="H49" s="34" t="n">
        <x:f>'Holdings'!V48</x:f>
        <x:v>0.03694591231501909</x:v>
      </x:c>
      <x:c r="I49" s="34" t="n">
        <x:f>'Holdings'!W48</x:f>
        <x:v>0.03637186159650274</x:v>
      </x:c>
      <x:c r="J49" s="21" t="n">
        <x:f>H49-I49</x:f>
        <x:v>0.0005740507185163501</x:v>
      </x:c>
      <x:c r="K49" s="43" t="n">
        <x:f>'Holdings'!L48</x:f>
        <x:v>120567.91339945505</x:v>
      </x:c>
      <x:c r="L49" s="43" t="n">
        <x:f>'Holdings'!U48</x:f>
        <x:v>121678.13958332108</x:v>
      </x:c>
      <x:c r="M49" s="44" t="n">
        <x:f>MAX(M48,K49)</x:f>
        <x:v>120567.91339945505</x:v>
      </x:c>
      <x:c r="N49" s="21" t="n">
        <x:f>K49/M49-1</x:f>
        <x:v>0</x:v>
      </x:c>
      <x:c r="O49" s="44" t="n">
        <x:f>MAX(O48,L49)</x:f>
        <x:v>121678.13958332108</x:v>
      </x:c>
      <x:c r="P49" s="21" t="n">
        <x:f>L49/O49-1</x:f>
        <x:v>0</x:v>
      </x:c>
      <x:c r="Q49" s="34" t="n">
        <x:f>'Holdings'!X48/K48</x:f>
        <x:v>0.019526330281179175</x:v>
      </x:c>
      <x:c r="R49" s="34" t="n">
        <x:f>'Holdings'!Y48/K48</x:f>
        <x:v>0.010453246060971172</x:v>
      </x:c>
      <x:c r="S49" s="34" t="n">
        <x:f>'Holdings'!Z48/K48</x:f>
        <x:v>0.005077906439818256</x:v>
      </x:c>
      <x:c r="T49" s="34" t="n">
        <x:f>'Holdings'!AA48/K48</x:f>
        <x:v>0.00188842953305061</x:v>
      </x:c>
    </x:row>
    <x:row r="50" ht="22" customHeight="1">
      <x:c r="A50" s="2"/>
      <x:c r="B50" s="2"/>
      <x:c r="C50" s="42" t="n">
        <x:f>IF(AND(ISNUMBER('Data'!C49),'Data'!C49=EOMONTH(C49,1),COUNTIF('Data'!$C$8:$C$67,'Data'!C49)=1),'Data'!C49,NA())</x:f>
        <x:v>45473</x:v>
      </x:c>
      <x:c r="D50" s="34" t="n">
        <x:f>IF(AND(ISNUMBER(C50),ISNUMBER('Data'!D49),'Data'!D49&gt;-1),'Data'!D49,NA())</x:f>
        <x:v>0.03588715</x:v>
      </x:c>
      <x:c r="E50" s="34" t="n">
        <x:f>IF(AND(ISNUMBER(C50),ISNUMBER('Data'!E49),'Data'!E49&gt;-1),'Data'!E49,NA())</x:f>
        <x:v>-0.0233</x:v>
      </x:c>
      <x:c r="F50" s="34" t="n">
        <x:f>IF(AND(ISNUMBER(C50),ISNUMBER('Data'!F49),'Data'!F49&gt;-1),'Data'!F49,NA())</x:f>
        <x:v>0.009300000000000001</x:v>
      </x:c>
      <x:c r="G50" s="34" t="n">
        <x:f>IF(AND(ISNUMBER(C50),ISNUMBER('Data'!G49),'Data'!G49&gt;-1),'Data'!G49,NA())</x:f>
        <x:v>-0.00758</x:v>
      </x:c>
      <x:c r="H50" s="34" t="n">
        <x:f>'Holdings'!V49</x:f>
        <x:v>0.01155150817940176</x:v>
      </x:c>
      <x:c r="I50" s="34" t="n">
        <x:f>'Holdings'!W49</x:f>
        <x:v>0.025345453595875478</x:v>
      </x:c>
      <x:c r="J50" s="21" t="n">
        <x:f>H50-I50</x:f>
        <x:v>-0.013793945416473719</x:v>
      </x:c>
      <x:c r="K50" s="43" t="n">
        <x:f>'Holdings'!L49</x:f>
        <x:v>121960.65463726225</x:v>
      </x:c>
      <x:c r="L50" s="43" t="n">
        <x:f>'Holdings'!U49</x:f>
        <x:v>124762.12722376261</x:v>
      </x:c>
      <x:c r="M50" s="44" t="n">
        <x:f>MAX(M49,K50)</x:f>
        <x:v>121960.65463726225</x:v>
      </x:c>
      <x:c r="N50" s="21" t="n">
        <x:f>K50/M50-1</x:f>
        <x:v>0</x:v>
      </x:c>
      <x:c r="O50" s="44" t="n">
        <x:f>MAX(O49,L50)</x:f>
        <x:v>124762.12722376261</x:v>
      </x:c>
      <x:c r="P50" s="21" t="n">
        <x:f>L50/O50-1</x:f>
        <x:v>0</x:v>
      </x:c>
      <x:c r="Q50" s="34" t="n">
        <x:f>'Holdings'!X49/K49</x:f>
        <x:v>0.014306983467952353</x:v>
      </x:c>
      <x:c r="R50" s="34" t="n">
        <x:f>'Holdings'!Y49/K49</x:f>
        <x:v>-0.0047003328377126395</x:v>
      </x:c>
      <x:c r="S50" s="34" t="n">
        <x:f>'Holdings'!Z49/K49</x:f>
        <x:v>0.002740331368518375</x:v>
      </x:c>
      <x:c r="T50" s="34" t="n">
        <x:f>'Holdings'!AA49/K49</x:f>
        <x:v>-0.0007954738193564069</x:v>
      </x:c>
    </x:row>
    <x:row r="51" ht="22" customHeight="1">
      <x:c r="A51" s="2"/>
      <x:c r="B51" s="2"/>
      <x:c r="C51" s="42" t="n">
        <x:f>IF(AND(ISNUMBER('Data'!C50),'Data'!C50=EOMONTH(C50,1),COUNTIF('Data'!$C$8:$C$67,'Data'!C50)=1),'Data'!C50,NA())</x:f>
        <x:v>45504</x:v>
      </x:c>
      <x:c r="D51" s="34" t="n">
        <x:f>IF(AND(ISNUMBER(C51),ISNUMBER('Data'!D50),'Data'!D50&gt;-1),'Data'!D50,NA())</x:f>
        <x:v>0.012159109999999999</x:v>
      </x:c>
      <x:c r="E51" s="34" t="n">
        <x:f>IF(AND(ISNUMBER(C51),ISNUMBER('Data'!E50),'Data'!E50&gt;-1),'Data'!E50,NA())</x:f>
        <x:v>0.0332</x:v>
      </x:c>
      <x:c r="F51" s="34" t="n">
        <x:f>IF(AND(ISNUMBER(C51),ISNUMBER('Data'!F50),'Data'!F50&gt;-1),'Data'!F50,NA())</x:f>
        <x:v>0.0235</x:v>
      </x:c>
      <x:c r="G51" s="34" t="n">
        <x:f>IF(AND(ISNUMBER(C51),ISNUMBER('Data'!G50),'Data'!G50&gt;-1),'Data'!G50,NA())</x:f>
        <x:v>0.0407</x:v>
      </x:c>
      <x:c r="H51" s="34" t="n">
        <x:f>'Holdings'!V50</x:f>
        <x:v>0.022623644000000276</x:v>
      </x:c>
      <x:c r="I51" s="34" t="n">
        <x:f>'Holdings'!W50</x:f>
        <x:v>0.016695466000000048</x:v>
      </x:c>
      <x:c r="J51" s="21" t="n">
        <x:f>H51-I51</x:f>
        <x:v>0.005928178000000228</x:v>
      </x:c>
      <x:c r="K51" s="43" t="n">
        <x:f>'Holdings'!L50</x:f>
        <x:v>124719.84906978265</x:v>
      </x:c>
      <x:c r="L51" s="43" t="n">
        <x:f>'Holdings'!U50</x:f>
        <x:v>126845.08907691462</x:v>
      </x:c>
      <x:c r="M51" s="44" t="n">
        <x:f>MAX(M50,K51)</x:f>
        <x:v>124719.84906978265</x:v>
      </x:c>
      <x:c r="N51" s="21" t="n">
        <x:f>K51/M51-1</x:f>
        <x:v>0</x:v>
      </x:c>
      <x:c r="O51" s="44" t="n">
        <x:f>MAX(O50,L51)</x:f>
        <x:v>126845.08907691462</x:v>
      </x:c>
      <x:c r="P51" s="21" t="n">
        <x:f>L51/O51-1</x:f>
        <x:v>0</x:v>
      </x:c>
      <x:c r="Q51" s="34" t="n">
        <x:f>'Holdings'!X50/K50</x:f>
        <x:v>0.004863644000000021</x:v>
      </x:c>
      <x:c r="R51" s="34" t="n">
        <x:f>'Holdings'!Y50/K50</x:f>
        <x:v>0.00663999999999997</x:v>
      </x:c>
      <x:c r="S51" s="34" t="n">
        <x:f>'Holdings'!Z50/K50</x:f>
        <x:v>0.007050000000000018</x:v>
      </x:c>
      <x:c r="T51" s="34" t="n">
        <x:f>'Holdings'!AA50/K50</x:f>
        <x:v>0.004069999999999999</x:v>
      </x:c>
    </x:row>
    <x:row r="52" ht="22" customHeight="1">
      <x:c r="A52" s="2"/>
      <x:c r="B52" s="2"/>
      <x:c r="C52" s="42" t="n">
        <x:f>IF(AND(ISNUMBER('Data'!C51),'Data'!C51=EOMONTH(C51,1),COUNTIF('Data'!$C$8:$C$67,'Data'!C51)=1),'Data'!C51,NA())</x:f>
        <x:v>45535</x:v>
      </x:c>
      <x:c r="D52" s="34" t="n">
        <x:f>IF(AND(ISNUMBER(C52),ISNUMBER('Data'!D51),'Data'!D51&gt;-1),'Data'!D51,NA())</x:f>
        <x:v>0.02420801</x:v>
      </x:c>
      <x:c r="E52" s="34" t="n">
        <x:f>IF(AND(ISNUMBER(C52),ISNUMBER('Data'!E51),'Data'!E51&gt;-1),'Data'!E51,NA())</x:f>
        <x:v>0.032400000000000005</x:v>
      </x:c>
      <x:c r="F52" s="34" t="n">
        <x:f>IF(AND(ISNUMBER(C52),ISNUMBER('Data'!F51),'Data'!F51&gt;-1),'Data'!F51,NA())</x:f>
        <x:v>0.0144</x:v>
      </x:c>
      <x:c r="G52" s="34" t="n">
        <x:f>IF(AND(ISNUMBER(C52),ISNUMBER('Data'!G51),'Data'!G51&gt;-1),'Data'!G51,NA())</x:f>
        <x:v>0.03567</x:v>
      </x:c>
      <x:c r="H52" s="34" t="n">
        <x:f>'Holdings'!V51</x:f>
        <x:v>0.024084888108247382</x:v>
      </x:c>
      <x:c r="I52" s="34" t="n">
        <x:f>'Holdings'!W51</x:f>
        <x:v>0.020258548801163512</x:v>
      </x:c>
      <x:c r="J52" s="21" t="n">
        <x:f>H52-I52</x:f>
        <x:v>0.0038263393070838703</x:v>
      </x:c>
      <x:c r="K52" s="43" t="n">
        <x:f>'Holdings'!L51</x:f>
        <x:v>127723.71267950587</x:v>
      </x:c>
      <x:c r="L52" s="43" t="n">
        <x:f>'Holdings'!U51</x:f>
        <x:v>129414.78650416722</x:v>
      </x:c>
      <x:c r="M52" s="44" t="n">
        <x:f>MAX(M51,K52)</x:f>
        <x:v>127723.71267950587</x:v>
      </x:c>
      <x:c r="N52" s="21" t="n">
        <x:f>K52/M52-1</x:f>
        <x:v>0</x:v>
      </x:c>
      <x:c r="O52" s="44" t="n">
        <x:f>MAX(O51,L52)</x:f>
        <x:v>129414.78650416722</x:v>
      </x:c>
      <x:c r="P52" s="21" t="n">
        <x:f>L52/O52-1</x:f>
        <x:v>0</x:v>
      </x:c>
      <x:c r="Q52" s="34" t="n">
        <x:f>'Holdings'!X51/K51</x:f>
        <x:v>0.009584115524898237</x:v>
      </x:c>
      <x:c r="R52" s="34" t="n">
        <x:f>'Holdings'!Y51/K51</x:f>
        <x:v>0.006547018582331926</x:v>
      </x:c>
      <x:c r="S52" s="34" t="n">
        <x:f>'Holdings'!Z51/K51</x:f>
        <x:v>0.004323702102862747</x:v>
      </x:c>
      <x:c r="T52" s="34" t="n">
        <x:f>'Holdings'!AA51/K51</x:f>
        <x:v>0.003630051898154641</x:v>
      </x:c>
    </x:row>
    <x:row r="53" ht="22" customHeight="1">
      <x:c r="A53" s="2"/>
      <x:c r="B53" s="2"/>
      <x:c r="C53" s="42" t="n">
        <x:f>IF(AND(ISNUMBER('Data'!C52),'Data'!C52=EOMONTH(C52,1),COUNTIF('Data'!$C$8:$C$67,'Data'!C52)=1),'Data'!C52,NA())</x:f>
        <x:v>45565</x:v>
      </x:c>
      <x:c r="D53" s="34" t="n">
        <x:f>IF(AND(ISNUMBER(C53),ISNUMBER('Data'!D52),'Data'!D52&gt;-1),'Data'!D52,NA())</x:f>
        <x:v>0.02133409</x:v>
      </x:c>
      <x:c r="E53" s="34" t="n">
        <x:f>IF(AND(ISNUMBER(C53),ISNUMBER('Data'!E52),'Data'!E52&gt;-1),'Data'!E52,NA())</x:f>
        <x:v>0.0096</x:v>
      </x:c>
      <x:c r="F53" s="34" t="n">
        <x:f>IF(AND(ISNUMBER(C53),ISNUMBER('Data'!F52),'Data'!F52&gt;-1),'Data'!F52,NA())</x:f>
        <x:v>0.0134</x:v>
      </x:c>
      <x:c r="G53" s="34" t="n">
        <x:f>IF(AND(ISNUMBER(C53),ISNUMBER('Data'!G52),'Data'!G52&gt;-1),'Data'!G52,NA())</x:f>
        <x:v>0.04617</x:v>
      </x:c>
      <x:c r="H53" s="34" t="n">
        <x:f>'Holdings'!V52</x:f>
        <x:v>0.019140095433797466</x:v>
      </x:c>
      <x:c r="I53" s="34" t="n">
        <x:f>'Holdings'!W52</x:f>
        <x:v>0.018157559188823003</x:v>
      </x:c>
      <x:c r="J53" s="21" t="n">
        <x:f>H53-I53</x:f>
        <x:v>0.0009825362449744635</x:v>
      </x:c>
      <x:c r="K53" s="43" t="n">
        <x:f>'Holdings'!L52</x:f>
        <x:v>130168.35672935053</x:v>
      </x:c>
      <x:c r="L53" s="43" t="n">
        <x:f>'Holdings'!U52</x:f>
        <x:v>131764.64315002554</x:v>
      </x:c>
      <x:c r="M53" s="44" t="n">
        <x:f>MAX(M52,K53)</x:f>
        <x:v>130168.35672935053</x:v>
      </x:c>
      <x:c r="N53" s="21" t="n">
        <x:f>K53/M53-1</x:f>
        <x:v>0</x:v>
      </x:c>
      <x:c r="O53" s="44" t="n">
        <x:f>MAX(O52,L53)</x:f>
        <x:v>131764.64315002554</x:v>
      </x:c>
      <x:c r="P53" s="21" t="n">
        <x:f>L53/O53-1</x:f>
        <x:v>0</x:v>
      </x:c>
      <x:c r="Q53" s="34" t="n">
        <x:f>'Holdings'!X52/K52</x:f>
        <x:v>0.008447326552109153</x:v>
      </x:c>
      <x:c r="R53" s="34" t="n">
        <x:f>'Holdings'!Y52/K52</x:f>
        <x:v>0.0019556081330502884</x:v>
      </x:c>
      <x:c r="S53" s="34" t="n">
        <x:f>'Holdings'!Z52/K52</x:f>
        <x:v>0.0039853948319693985</x:v>
      </x:c>
      <x:c r="T53" s="34" t="n">
        <x:f>'Holdings'!AA52/K52</x:f>
        <x:v>0.004751765916668612</x:v>
      </x:c>
    </x:row>
    <x:row r="54" ht="22" customHeight="1">
      <x:c r="A54" s="2"/>
      <x:c r="B54" s="2"/>
      <x:c r="C54" s="42" t="n">
        <x:f>IF(AND(ISNUMBER('Data'!C53),'Data'!C53=EOMONTH(C53,1),COUNTIF('Data'!$C$8:$C$67,'Data'!C53)=1),'Data'!C53,NA())</x:f>
        <x:v>45596</x:v>
      </x:c>
      <x:c r="D54" s="34" t="n">
        <x:f>IF(AND(ISNUMBER(C54),ISNUMBER('Data'!D53),'Data'!D53&gt;-1),'Data'!D53,NA())</x:f>
        <x:v>-0.00909656</x:v>
      </x:c>
      <x:c r="E54" s="34" t="n">
        <x:f>IF(AND(ISNUMBER(C54),ISNUMBER('Data'!E53),'Data'!E53&gt;-1),'Data'!E53,NA())</x:f>
        <x:v>-0.056100000000000004</x:v>
      </x:c>
      <x:c r="F54" s="34" t="n">
        <x:f>IF(AND(ISNUMBER(C54),ISNUMBER('Data'!F53),'Data'!F53&gt;-1),'Data'!F53,NA())</x:f>
        <x:v>-0.0248</x:v>
      </x:c>
      <x:c r="G54" s="34" t="n">
        <x:f>IF(AND(ISNUMBER(C54),ISNUMBER('Data'!G53),'Data'!G53&gt;-1),'Data'!G53,NA())</x:f>
        <x:v>0.03941</x:v>
      </x:c>
      <x:c r="H54" s="34" t="n">
        <x:f>'Holdings'!V53</x:f>
        <x:v>-0.01835762399999996</x:v>
      </x:c>
      <x:c r="I54" s="34" t="n">
        <x:f>'Holdings'!W53</x:f>
        <x:v>-0.015377936000000036</x:v>
      </x:c>
      <x:c r="J54" s="21" t="n">
        <x:f>H54-I54</x:f>
        <x:v>-0.002979687999999925</x:v>
      </x:c>
      <x:c r="K54" s="43" t="n">
        <x:f>'Holdings'!L53</x:f>
        <x:v>127778.77497981525</x:v>
      </x:c>
      <x:c r="L54" s="43" t="n">
        <x:f>'Holdings'!U53</x:f>
        <x:v>129738.3749006016</x:v>
      </x:c>
      <x:c r="M54" s="44" t="n">
        <x:f>MAX(M53,K54)</x:f>
        <x:v>130168.35672935053</x:v>
      </x:c>
      <x:c r="N54" s="21" t="n">
        <x:f>K54/M54-1</x:f>
        <x:v>-0.01835762399999996</x:v>
      </x:c>
      <x:c r="O54" s="44" t="n">
        <x:f>MAX(O53,L54)</x:f>
        <x:v>131764.64315002554</x:v>
      </x:c>
      <x:c r="P54" s="21" t="n">
        <x:f>L54/O54-1</x:f>
        <x:v>-0.015377936000000036</x:v>
      </x:c>
      <x:c r="Q54" s="34" t="n">
        <x:f>'Holdings'!X53/K53</x:f>
        <x:v>-0.00363862400000002</x:v>
      </x:c>
      <x:c r="R54" s="34" t="n">
        <x:f>'Holdings'!Y53/K53</x:f>
        <x:v>-0.011220000000000006</x:v>
      </x:c>
      <x:c r="S54" s="34" t="n">
        <x:f>'Holdings'!Z53/K53</x:f>
        <x:v>-0.00743999999999999</x:v>
      </x:c>
      <x:c r="T54" s="34" t="n">
        <x:f>'Holdings'!AA53/K53</x:f>
        <x:v>0.003940999999999997</x:v>
      </x:c>
    </x:row>
    <x:row r="55" ht="22" customHeight="1">
      <x:c r="A55" s="2"/>
      <x:c r="B55" s="2"/>
      <x:c r="C55" s="42" t="n">
        <x:f>IF(AND(ISNUMBER('Data'!C54),'Data'!C54=EOMONTH(C54,1),COUNTIF('Data'!$C$8:$C$67,'Data'!C54)=1),'Data'!C54,NA())</x:f>
        <x:v>45626</x:v>
      </x:c>
      <x:c r="D55" s="34" t="n">
        <x:f>IF(AND(ISNUMBER(C55),ISNUMBER('Data'!D54),'Data'!D54&gt;-1),'Data'!D54,NA())</x:f>
        <x:v>0.05866213</x:v>
      </x:c>
      <x:c r="E55" s="34" t="n">
        <x:f>IF(AND(ISNUMBER(C55),ISNUMBER('Data'!E54),'Data'!E54&gt;-1),'Data'!E54,NA())</x:f>
        <x:v>-0.001</x:v>
      </x:c>
      <x:c r="F55" s="34" t="n">
        <x:f>IF(AND(ISNUMBER(C55),ISNUMBER('Data'!F54),'Data'!F54&gt;-1),'Data'!F54,NA())</x:f>
        <x:v>0.0113</x:v>
      </x:c>
      <x:c r="G55" s="34" t="n">
        <x:f>IF(AND(ISNUMBER(C55),ISNUMBER('Data'!G54),'Data'!G54&gt;-1),'Data'!G54,NA())</x:f>
        <x:v>-0.03058</x:v>
      </x:c>
      <x:c r="H55" s="34" t="n">
        <x:f>'Holdings'!V54</x:f>
        <x:v>0.023623709971024143</x:v>
      </x:c>
      <x:c r="I55" s="34" t="n">
        <x:f>'Holdings'!W54</x:f>
        <x:v>0.03989856543458137</x:v>
      </x:c>
      <x:c r="J55" s="21" t="n">
        <x:f>H55-I55</x:f>
        <x:v>-0.016274855463557225</x:v>
      </x:c>
      <x:c r="K55" s="43" t="n">
        <x:f>'Holdings'!L54</x:f>
        <x:v>130797.38370039116</x:v>
      </x:c>
      <x:c r="L55" s="43" t="n">
        <x:f>'Holdings'!U54</x:f>
        <x:v>134914.7499409495</x:v>
      </x:c>
      <x:c r="M55" s="44" t="n">
        <x:f>MAX(M54,K55)</x:f>
        <x:v>130797.38370039116</x:v>
      </x:c>
      <x:c r="N55" s="21" t="n">
        <x:f>K55/M55-1</x:f>
        <x:v>0</x:v>
      </x:c>
      <x:c r="O55" s="44" t="n">
        <x:f>MAX(O54,L55)</x:f>
        <x:v>134914.7499409495</x:v>
      </x:c>
      <x:c r="P55" s="21" t="n">
        <x:f>L55/O55-1</x:f>
        <x:v>0</x:v>
      </x:c>
      <x:c r="Q55" s="34" t="n">
        <x:f>'Holdings'!X54/K54</x:f>
        <x:v>0.02368622538549712</x:v>
      </x:c>
      <x:c r="R55" s="34" t="n">
        <x:f>'Holdings'!Y54/K54</x:f>
        <x:v>-0.0001923103613041242</x:v>
      </x:c>
      <x:c r="S55" s="34" t="n">
        <x:f>'Holdings'!Z54/K54</x:f>
        <x:v>0.0033677519235376097</x:v>
      </x:c>
      <x:c r="T55" s="34" t="n">
        <x:f>'Holdings'!AA54/K54</x:f>
        <x:v>-0.0032379569767065574</x:v>
      </x:c>
    </x:row>
    <x:row r="56" ht="22" customHeight="1">
      <x:c r="A56" s="2"/>
      <x:c r="B56" s="2"/>
      <x:c r="C56" s="53" t="n">
        <x:f>IF(AND(ISNUMBER('Data'!C55),'Data'!C55=EOMONTH(C55,1),COUNTIF('Data'!$C$8:$C$67,'Data'!C55)=1),'Data'!C55,NA())</x:f>
        <x:v>45657</x:v>
      </x:c>
      <x:c r="D56" s="54" t="n">
        <x:f>IF(AND(ISNUMBER(C56),ISNUMBER('Data'!D55),'Data'!D55&gt;-1),'Data'!D55,NA())</x:f>
        <x:v>-0.02385907</x:v>
      </x:c>
      <x:c r="E56" s="54" t="n">
        <x:f>IF(AND(ISNUMBER(C56),ISNUMBER('Data'!E55),'Data'!E55&gt;-1),'Data'!E55,NA())</x:f>
        <x:v>-0.0288</x:v>
      </x:c>
      <x:c r="F56" s="54" t="n">
        <x:f>IF(AND(ISNUMBER(C56),ISNUMBER('Data'!F55),'Data'!F55&gt;-1),'Data'!F55,NA())</x:f>
        <x:v>-0.0169</x:v>
      </x:c>
      <x:c r="G56" s="54" t="n">
        <x:f>IF(AND(ISNUMBER(C56),ISNUMBER('Data'!G55),'Data'!G55&gt;-1),'Data'!G55,NA())</x:f>
        <x:v>-0.01538</x:v>
      </x:c>
      <x:c r="H56" s="54" t="n">
        <x:f>'Holdings'!V55</x:f>
        <x:v>-0.021887091565847228</x:v>
      </x:c>
      <x:c r="I56" s="54" t="n">
        <x:f>'Holdings'!W55</x:f>
        <x:v>-0.02117789998607278</x:v>
      </x:c>
      <x:c r="J56" s="28" t="n">
        <x:f>H56-I56</x:f>
        <x:v>-0.0007091915797744486</x:v>
      </x:c>
      <x:c r="K56" s="55" t="n">
        <x:f>'Holdings'!L55</x:f>
        <x:v>127934.60938676745</x:v>
      </x:c>
      <x:c r="L56" s="55" t="n">
        <x:f>'Holdings'!U55</x:f>
        <x:v>132057.53886005405</x:v>
      </x:c>
      <x:c r="M56" s="56" t="n">
        <x:f>MAX(M55,K56)</x:f>
        <x:v>130797.38370039116</x:v>
      </x:c>
      <x:c r="N56" s="28" t="n">
        <x:f>K56/M56-1</x:f>
        <x:v>-0.021887091565847228</x:v>
      </x:c>
      <x:c r="O56" s="56" t="n">
        <x:f>MAX(O55,L56)</x:f>
        <x:v>134914.7499409495</x:v>
      </x:c>
      <x:c r="P56" s="28" t="n">
        <x:f>L56/O56-1</x:f>
        <x:v>-0.02117789998607278</x:v>
      </x:c>
      <x:c r="Q56" s="54" t="n">
        <x:f>'Holdings'!X55/K55</x:f>
        <x:v>-0.009963423302466834</x:v>
      </x:c>
      <x:c r="R56" s="54" t="n">
        <x:f>'Holdings'!Y55/K55</x:f>
        <x:v>-0.005405306474690678</x:v>
      </x:c>
      <x:c r="S56" s="54" t="n">
        <x:f>'Holdings'!Z55/K55</x:f>
        <x:v>-0.00497608768340718</x:v>
      </x:c>
      <x:c r="T56" s="54" t="n">
        <x:f>'Holdings'!AA55/K55</x:f>
        <x:v>-0.0015422741052824231</x:v>
      </x:c>
    </x:row>
    <x:row r="57" ht="22" customHeight="1">
      <x:c r="A57" s="2"/>
      <x:c r="B57" s="2"/>
      <x:c r="C57" s="42" t="n">
        <x:f>IF(AND(ISNUMBER('Data'!C56),'Data'!C56=EOMONTH(C56,1),COUNTIF('Data'!$C$8:$C$67,'Data'!C56)=1),'Data'!C56,NA())</x:f>
        <x:v>45688</x:v>
      </x:c>
      <x:c r="D57" s="34" t="n">
        <x:f>IF(AND(ISNUMBER(C57),ISNUMBER('Data'!D56),'Data'!D56&gt;-1),'Data'!D56,NA())</x:f>
        <x:v>0.02779804</x:v>
      </x:c>
      <x:c r="E57" s="34" t="n">
        <x:f>IF(AND(ISNUMBER(C57),ISNUMBER('Data'!E56),'Data'!E56&gt;-1),'Data'!E56,NA())</x:f>
        <x:v>0.0471</x:v>
      </x:c>
      <x:c r="F57" s="34" t="n">
        <x:f>IF(AND(ISNUMBER(C57),ISNUMBER('Data'!F56),'Data'!F56&gt;-1),'Data'!F56,NA())</x:f>
        <x:v>0.0051</x:v>
      </x:c>
      <x:c r="G57" s="34" t="n">
        <x:f>IF(AND(ISNUMBER(C57),ISNUMBER('Data'!G56),'Data'!G56&gt;-1),'Data'!G56,NA())</x:f>
        <x:v>0.07685</x:v>
      </x:c>
      <x:c r="H57" s="34" t="n">
        <x:f>'Holdings'!V56</x:f>
        <x:v>0.029754215999999944</x:v>
      </x:c>
      <x:c r="I57" s="34" t="n">
        <x:f>'Holdings'!W56</x:f>
        <x:v>0.018718824000000023</x:v>
      </x:c>
      <x:c r="J57" s="21" t="n">
        <x:f>H57-I57</x:f>
        <x:v>0.011035391999999922</x:v>
      </x:c>
      <x:c r="K57" s="43" t="n">
        <x:f>'Holdings'!L56</x:f>
        <x:v>131741.20338833696</x:v>
      </x:c>
      <x:c r="L57" s="43" t="n">
        <x:f>'Holdings'!U56</x:f>
        <x:v>134529.50068784857</x:v>
      </x:c>
      <x:c r="M57" s="44" t="n">
        <x:f>MAX(M56,K57)</x:f>
        <x:v>131741.20338833696</x:v>
      </x:c>
      <x:c r="N57" s="21" t="n">
        <x:f>K57/M57-1</x:f>
        <x:v>0</x:v>
      </x:c>
      <x:c r="O57" s="44" t="n">
        <x:f>MAX(O56,L57)</x:f>
        <x:v>134914.7499409495</x:v>
      </x:c>
      <x:c r="P57" s="21" t="n">
        <x:f>L57/O57-1</x:f>
        <x:v>-0.0028555013686015762</x:v>
      </x:c>
      <x:c r="Q57" s="34" t="n">
        <x:f>'Holdings'!X56/K56</x:f>
        <x:v>0.011119215999999982</x:v>
      </x:c>
      <x:c r="R57" s="34" t="n">
        <x:f>'Holdings'!Y56/K56</x:f>
        <x:v>0.009419999999999987</x:v>
      </x:c>
      <x:c r="S57" s="34" t="n">
        <x:f>'Holdings'!Z56/K56</x:f>
        <x:v>0.001530000000000021</x:v>
      </x:c>
      <x:c r="T57" s="34" t="n">
        <x:f>'Holdings'!AA56/K56</x:f>
        <x:v>0.007685000000000015</x:v>
      </x:c>
    </x:row>
    <x:row r="58" ht="22" customHeight="1">
      <x:c r="A58" s="2"/>
      <x:c r="B58" s="2"/>
      <x:c r="C58" s="42" t="n">
        <x:f>IF(AND(ISNUMBER('Data'!C57),'Data'!C57=EOMONTH(C57,1),COUNTIF('Data'!$C$8:$C$67,'Data'!C57)=1),'Data'!C57,NA())</x:f>
        <x:v>45716</x:v>
      </x:c>
      <x:c r="D58" s="34" t="n">
        <x:f>IF(AND(ISNUMBER(C58),ISNUMBER('Data'!D57),'Data'!D57&gt;-1),'Data'!D57,NA())</x:f>
        <x:v>-0.01310529</x:v>
      </x:c>
      <x:c r="E58" s="34" t="n">
        <x:f>IF(AND(ISNUMBER(C58),ISNUMBER('Data'!E57),'Data'!E57&gt;-1),'Data'!E57,NA())</x:f>
        <x:v>0.0274</x:v>
      </x:c>
      <x:c r="F58" s="34" t="n">
        <x:f>IF(AND(ISNUMBER(C58),ISNUMBER('Data'!F57),'Data'!F57&gt;-1),'Data'!F57,NA())</x:f>
        <x:v>0.022000000000000002</x:v>
      </x:c>
      <x:c r="G58" s="34" t="n">
        <x:f>IF(AND(ISNUMBER(C58),ISNUMBER('Data'!G57),'Data'!G57&gt;-1),'Data'!G57,NA())</x:f>
        <x:v>0.00781</x:v>
      </x:c>
      <x:c r="H58" s="34" t="n">
        <x:f>'Holdings'!V57</x:f>
        <x:v>0.007598853375073045</x:v>
      </x:c>
      <x:c r="I58" s="34" t="n">
        <x:f>'Holdings'!W57</x:f>
        <x:v>0.000749102850209793</x:v>
      </x:c>
      <x:c r="J58" s="21" t="n">
        <x:f>H58-I58</x:f>
        <x:v>0.006849750524863252</x:v>
      </x:c>
      <x:c r="K58" s="43" t="n">
        <x:f>'Holdings'!L57</x:f>
        <x:v>132742.28547634062</x:v>
      </x:c>
      <x:c r="L58" s="43" t="n">
        <x:f>'Holdings'!U57</x:f>
        <x:v>134630.27712025115</x:v>
      </x:c>
      <x:c r="M58" s="44" t="n">
        <x:f>MAX(M57,K58)</x:f>
        <x:v>132742.28547634062</x:v>
      </x:c>
      <x:c r="N58" s="21" t="n">
        <x:f>K58/M58-1</x:f>
        <x:v>0</x:v>
      </x:c>
      <x:c r="O58" s="44" t="n">
        <x:f>MAX(O57,L58)</x:f>
        <x:v>134914.7499409495</x:v>
      </x:c>
      <x:c r="P58" s="21" t="n">
        <x:f>L58/O58-1</x:f>
        <x:v>-0.002108537582605652</x:v>
      </x:c>
      <x:c r="Q58" s="34" t="n">
        <x:f>'Holdings'!X57/K57</x:f>
        <x:v>-0.005232157797014192</x:v>
      </x:c>
      <x:c r="R58" s="34" t="n">
        <x:f>'Holdings'!Y57/K57</x:f>
        <x:v>0.0055723083342054695</x:v>
      </x:c>
      <x:c r="S58" s="34" t="n">
        <x:f>'Holdings'!Z57/K57</x:f>
        <x:v>0.00644198382189483</x:v>
      </x:c>
      <x:c r="T58" s="34" t="n">
        <x:f>'Holdings'!AA57/K57</x:f>
        <x:v>0.0008167190159870299</x:v>
      </x:c>
    </x:row>
    <x:row r="59" ht="22" customHeight="1">
      <x:c r="A59" s="2"/>
      <x:c r="B59" s="2"/>
      <x:c r="C59" s="42" t="n">
        <x:f>IF(AND(ISNUMBER('Data'!C58),'Data'!C58=EOMONTH(C58,1),COUNTIF('Data'!$C$8:$C$67,'Data'!C58)=1),'Data'!C58,NA())</x:f>
        <x:v>45747</x:v>
      </x:c>
      <x:c r="D59" s="34" t="n">
        <x:f>IF(AND(ISNUMBER(C59),ISNUMBER('Data'!D58),'Data'!D58&gt;-1),'Data'!D58,NA())</x:f>
        <x:v>-0.05631999000000001</x:v>
      </x:c>
      <x:c r="E59" s="34" t="n">
        <x:f>IF(AND(ISNUMBER(C59),ISNUMBER('Data'!E58),'Data'!E58&gt;-1),'Data'!E58,NA())</x:f>
        <x:v>-0.0003</x:v>
      </x:c>
      <x:c r="F59" s="34" t="n">
        <x:f>IF(AND(ISNUMBER(C59),ISNUMBER('Data'!F58),'Data'!F58&gt;-1),'Data'!F58,NA())</x:f>
        <x:v>0.0004</x:v>
      </x:c>
      <x:c r="G59" s="34" t="n">
        <x:f>IF(AND(ISNUMBER(C59),ISNUMBER('Data'!G58),'Data'!G58&gt;-1),'Data'!G58,NA())</x:f>
        <x:v>0.09876</x:v>
      </x:c>
      <x:c r="H59" s="34" t="n">
        <x:f>'Holdings'!V58</x:f>
        <x:v>-0.011636740464567974</x:v>
      </x:c>
      <x:c r="I59" s="34" t="n">
        <x:f>'Holdings'!W58</x:f>
        <x:v>-0.033459961626158274</x:v>
      </x:c>
      <x:c r="J59" s="21" t="n">
        <x:f>H59-I59</x:f>
        <x:v>0.0218232211615903</x:v>
      </x:c>
      <x:c r="K59" s="43" t="n">
        <x:f>'Holdings'!L58</x:f>
        <x:v>131197.59795157885</x:v>
      </x:c>
      <x:c r="L59" s="43" t="n">
        <x:f>'Holdings'!U58</x:f>
        <x:v>130125.55321408849</x:v>
      </x:c>
      <x:c r="M59" s="44" t="n">
        <x:f>MAX(M58,K59)</x:f>
        <x:v>132742.28547634062</x:v>
      </x:c>
      <x:c r="N59" s="21" t="n">
        <x:f>K59/M59-1</x:f>
        <x:v>-0.011636740464567974</x:v>
      </x:c>
      <x:c r="O59" s="44" t="n">
        <x:f>MAX(O58,L59)</x:f>
        <x:v>134914.7499409495</x:v>
      </x:c>
      <x:c r="P59" s="21" t="n">
        <x:f>L59/O59-1</x:f>
        <x:v>-0.03549794762216274</x:v>
      </x:c>
      <x:c r="Q59" s="34" t="n">
        <x:f>'Holdings'!X58/K58</x:f>
        <x:v>-0.022023174667976517</x:v>
      </x:c>
      <x:c r="R59" s="34" t="n">
        <x:f>'Holdings'!Y58/K58</x:f>
        <x:v>-0.00006220964571596059</x:v>
      </x:c>
      <x:c r="S59" s="34" t="n">
        <x:f>'Holdings'!Z58/K58</x:f>
        <x:v>0.00011880102057250945</x:v>
      </x:c>
      <x:c r="T59" s="34" t="n">
        <x:f>'Holdings'!AA58/K58</x:f>
        <x:v>0.010329842828551762</x:v>
      </x:c>
    </x:row>
    <x:row r="60" ht="22" customHeight="1">
      <x:c r="A60" s="2"/>
      <x:c r="B60" s="2"/>
      <x:c r="C60" s="42" t="n">
        <x:f>IF(AND(ISNUMBER('Data'!C59),'Data'!C59=EOMONTH(C59,1),COUNTIF('Data'!$C$8:$C$67,'Data'!C59)=1),'Data'!C59,NA())</x:f>
        <x:v>45777</x:v>
      </x:c>
      <x:c r="D60" s="34" t="n">
        <x:f>IF(AND(ISNUMBER(C60),ISNUMBER('Data'!D59),'Data'!D59&gt;-1),'Data'!D59,NA())</x:f>
        <x:v>-0.00680232</x:v>
      </x:c>
      <x:c r="E60" s="34" t="n">
        <x:f>IF(AND(ISNUMBER(C60),ISNUMBER('Data'!E59),'Data'!E59&gt;-1),'Data'!E59,NA())</x:f>
        <x:v>0.042199999999999994</x:v>
      </x:c>
      <x:c r="F60" s="34" t="n">
        <x:f>IF(AND(ISNUMBER(C60),ISNUMBER('Data'!F59),'Data'!F59&gt;-1),'Data'!F59,NA())</x:f>
        <x:v>0.0039000000000000003</x:v>
      </x:c>
      <x:c r="G60" s="34" t="n">
        <x:f>IF(AND(ISNUMBER(C60),ISNUMBER('Data'!G59),'Data'!G59&gt;-1),'Data'!G59,NA())</x:f>
        <x:v>0.059800000000000006</x:v>
      </x:c>
      <x:c r="H60" s="34" t="n">
        <x:f>'Holdings'!V59</x:f>
        <x:v>0.012869072000000203</x:v>
      </x:c>
      <x:c r="I60" s="34" t="n">
        <x:f>'Holdings'!W59</x:f>
        <x:v>-0.002521392000000011</x:v>
      </x:c>
      <x:c r="J60" s="21" t="n">
        <x:f>H60-I60</x:f>
        <x:v>0.015390464000000215</x:v>
      </x:c>
      <x:c r="K60" s="43" t="n">
        <x:f>'Holdings'!L59</x:f>
        <x:v>132885.9892858448</x:v>
      </x:c>
      <x:c r="L60" s="43" t="n">
        <x:f>'Holdings'!U59</x:f>
        <x:v>129797.45568521891</x:v>
      </x:c>
      <x:c r="M60" s="44" t="n">
        <x:f>MAX(M59,K60)</x:f>
        <x:v>132885.9892858448</x:v>
      </x:c>
      <x:c r="N60" s="21" t="n">
        <x:f>K60/M60-1</x:f>
        <x:v>0</x:v>
      </x:c>
      <x:c r="O60" s="44" t="n">
        <x:f>MAX(O59,L60)</x:f>
        <x:v>134914.7499409495</x:v>
      </x:c>
      <x:c r="P60" s="21" t="n">
        <x:f>L60/O60-1</x:f>
        <x:v>-0.0379298353810118</x:v>
      </x:c>
      <x:c r="Q60" s="34" t="n">
        <x:f>'Holdings'!X59/K59</x:f>
        <x:v>-0.0027209280000000382</x:v>
      </x:c>
      <x:c r="R60" s="34" t="n">
        <x:f>'Holdings'!Y59/K59</x:f>
        <x:v>0.008440000000000003</x:v>
      </x:c>
      <x:c r="S60" s="34" t="n">
        <x:f>'Holdings'!Z59/K59</x:f>
        <x:v>0.0011699999999999948</x:v>
      </x:c>
      <x:c r="T60" s="34" t="n">
        <x:f>'Holdings'!AA59/K59</x:f>
        <x:v>0.005980000000000006</x:v>
      </x:c>
    </x:row>
    <x:row r="61" ht="22" customHeight="1">
      <x:c r="A61" s="2"/>
      <x:c r="B61" s="2"/>
      <x:c r="C61" s="42" t="n">
        <x:f>IF(AND(ISNUMBER('Data'!C60),'Data'!C60=EOMONTH(C60,1),COUNTIF('Data'!$C$8:$C$67,'Data'!C60)=1),'Data'!C60,NA())</x:f>
        <x:v>45808</x:v>
      </x:c>
      <x:c r="D61" s="34" t="n">
        <x:f>IF(AND(ISNUMBER(C61),ISNUMBER('Data'!D60),'Data'!D60&gt;-1),'Data'!D60,NA())</x:f>
        <x:v>0.06292339</x:v>
      </x:c>
      <x:c r="E61" s="34" t="n">
        <x:f>IF(AND(ISNUMBER(C61),ISNUMBER('Data'!E60),'Data'!E60&gt;-1),'Data'!E60,NA())</x:f>
        <x:v>0.0475</x:v>
      </x:c>
      <x:c r="F61" s="34" t="n">
        <x:f>IF(AND(ISNUMBER(C61),ISNUMBER('Data'!F60),'Data'!F60&gt;-1),'Data'!F60,NA())</x:f>
        <x:v>-0.0072</x:v>
      </x:c>
      <x:c r="G61" s="34" t="n">
        <x:f>IF(AND(ISNUMBER(C61),ISNUMBER('Data'!G60),'Data'!G60&gt;-1),'Data'!G60,NA())</x:f>
        <x:v>-0.0076300000000000005</x:v>
      </x:c>
      <x:c r="H61" s="34" t="n">
        <x:f>'Holdings'!V60</x:f>
        <x:v>0.031516407666848156</x:v>
      </x:c>
      <x:c r="I61" s="34" t="n">
        <x:f>'Holdings'!W60</x:f>
        <x:v>0.03469346279899477</x:v>
      </x:c>
      <x:c r="J61" s="21" t="n">
        <x:f>H61-I61</x:f>
        <x:v>-0.003177055132146611</x:v>
      </x:c>
      <x:c r="K61" s="43" t="n">
        <x:f>'Holdings'!L60</x:f>
        <x:v>137074.07829738987</x:v>
      </x:c>
      <x:c r="L61" s="43" t="n">
        <x:f>'Holdings'!U60</x:f>
        <x:v>134300.57888543824</x:v>
      </x:c>
      <x:c r="M61" s="44" t="n">
        <x:f>MAX(M60,K61)</x:f>
        <x:v>137074.07829738987</x:v>
      </x:c>
      <x:c r="N61" s="21" t="n">
        <x:f>K61/M61-1</x:f>
        <x:v>0</x:v>
      </x:c>
      <x:c r="O61" s="44" t="n">
        <x:f>MAX(O60,L61)</x:f>
        <x:v>134914.7499409495</x:v>
      </x:c>
      <x:c r="P61" s="21" t="n">
        <x:f>L61/O61-1</x:f>
        <x:v>-0.004552289914779961</x:v>
      </x:c>
      <x:c r="Q61" s="34" t="n">
        <x:f>'Holdings'!X60/K60</x:f>
        <x:v>0.02468053046277046</x:v>
      </x:c>
      <x:c r="R61" s="34" t="n">
        <x:f>'Holdings'!Y60/K60</x:f>
        <x:v>0.009775103489387645</x:v>
      </x:c>
      <x:c r="S61" s="34" t="n">
        <x:f>'Holdings'!Z60/K60</x:f>
        <x:v>-0.0021408729518399222</x:v>
      </x:c>
      <x:c r="T61" s="34" t="n">
        <x:f>'Holdings'!AA60/K60</x:f>
        <x:v>-0.00079835333347014</x:v>
      </x:c>
    </x:row>
    <x:row r="62" ht="22" customHeight="1">
      <x:c r="A62" s="2"/>
      <x:c r="B62" s="2"/>
      <x:c r="C62" s="42" t="n">
        <x:f>IF(AND(ISNUMBER('Data'!C61),'Data'!C61=EOMONTH(C61,1),COUNTIF('Data'!$C$8:$C$67,'Data'!C61)=1),'Data'!C61,NA())</x:f>
        <x:v>45838</x:v>
      </x:c>
      <x:c r="D62" s="34" t="n">
        <x:f>IF(AND(ISNUMBER(C62),ISNUMBER('Data'!D61),'Data'!D61&gt;-1),'Data'!D61,NA())</x:f>
        <x:v>0.050840630000000005</x:v>
      </x:c>
      <x:c r="E62" s="34" t="n">
        <x:f>IF(AND(ISNUMBER(C62),ISNUMBER('Data'!E61),'Data'!E61&gt;-1),'Data'!E61,NA())</x:f>
        <x:v>0.0285</x:v>
      </x:c>
      <x:c r="F62" s="34" t="n">
        <x:f>IF(AND(ISNUMBER(C62),ISNUMBER('Data'!F61),'Data'!F61&gt;-1),'Data'!F61,NA())</x:f>
        <x:v>0.0154</x:v>
      </x:c>
      <x:c r="G62" s="34" t="n">
        <x:f>IF(AND(ISNUMBER(C62),ISNUMBER('Data'!G61),'Data'!G61&gt;-1),'Data'!G61,NA())</x:f>
        <x:v>0.0028100000000000004</x:v>
      </x:c>
      <x:c r="H62" s="34" t="n">
        <x:f>'Holdings'!V61</x:f>
        <x:v>0.031194477361837558</x:v>
      </x:c>
      <x:c r="I62" s="34" t="n">
        <x:f>'Holdings'!W61</x:f>
        <x:v>0.037150790651583554</x:v>
      </x:c>
      <x:c r="J62" s="21" t="n">
        <x:f>H62-I62</x:f>
        <x:v>-0.005956313289745996</x:v>
      </x:c>
      <x:c r="K62" s="43" t="n">
        <x:f>'Holdings'!L61</x:f>
        <x:v>141350.03252973256</x:v>
      </x:c>
      <x:c r="L62" s="43" t="n">
        <x:f>'Holdings'!U61</x:f>
        <x:v>139289.95157599763</x:v>
      </x:c>
      <x:c r="M62" s="44" t="n">
        <x:f>MAX(M61,K62)</x:f>
        <x:v>141350.03252973256</x:v>
      </x:c>
      <x:c r="N62" s="21" t="n">
        <x:f>K62/M62-1</x:f>
        <x:v>0</x:v>
      </x:c>
      <x:c r="O62" s="44" t="n">
        <x:f>MAX(O61,L62)</x:f>
        <x:v>139289.95157599763</x:v>
      </x:c>
      <x:c r="P62" s="21" t="n">
        <x:f>L62/O62-1</x:f>
        <x:v>0</x:v>
      </x:c>
      <x:c r="Q62" s="34" t="n">
        <x:f>'Holdings'!X61/K61</x:f>
        <x:v>0.020548452684628023</x:v>
      </x:c>
      <x:c r="R62" s="34" t="n">
        <x:f>'Holdings'!Y61/K61</x:f>
        <x:v>0.005955942627200895</x:v>
      </x:c>
      <x:c r="S62" s="34" t="n">
        <x:f>'Holdings'!Z61/K61</x:f>
        <x:v>0.004407220177949039</x:v>
      </x:c>
      <x:c r="T62" s="34" t="n">
        <x:f>'Holdings'!AA61/K61</x:f>
        <x:v>0.00028286187205984174</x:v>
      </x:c>
    </x:row>
    <x:row r="63" ht="22" customHeight="1">
      <x:c r="A63" s="2"/>
      <x:c r="B63" s="2"/>
      <x:c r="C63" s="42" t="n">
        <x:f>IF(AND(ISNUMBER('Data'!C62),'Data'!C62=EOMONTH(C62,1),COUNTIF('Data'!$C$8:$C$67,'Data'!C62)=1),'Data'!C62,NA())</x:f>
        <x:v>45869</x:v>
      </x:c>
      <x:c r="D63" s="34" t="n">
        <x:f>IF(AND(ISNUMBER(C63),ISNUMBER('Data'!D62),'Data'!D62&gt;-1),'Data'!D62,NA())</x:f>
        <x:v>0.02239205</x:v>
      </x:c>
      <x:c r="E63" s="34" t="n">
        <x:f>IF(AND(ISNUMBER(C63),ISNUMBER('Data'!E62),'Data'!E62&gt;-1),'Data'!E62,NA())</x:f>
        <x:v>-0.0229</x:v>
      </x:c>
      <x:c r="F63" s="34" t="n">
        <x:f>IF(AND(ISNUMBER(C63),ISNUMBER('Data'!F62),'Data'!F62&gt;-1),'Data'!F62,NA())</x:f>
        <x:v>-0.0025</x:v>
      </x:c>
      <x:c r="G63" s="34" t="n">
        <x:f>IF(AND(ISNUMBER(C63),ISNUMBER('Data'!G62),'Data'!G62&gt;-1),'Data'!G62,NA())</x:f>
        <x:v>0.0032500000000000003</x:v>
      </x:c>
      <x:c r="H63" s="34" t="n">
        <x:f>'Holdings'!V62</x:f>
        <x:v>0.003951820000000161</x:v>
      </x:c>
      <x:c r="I63" s="34" t="n">
        <x:f>'Holdings'!W62</x:f>
        <x:v>0.012435229999999908</x:v>
      </x:c>
      <x:c r="J63" s="21" t="n">
        <x:f>H63-I63</x:f>
        <x:v>-0.008483409999999747</x:v>
      </x:c>
      <x:c r="K63" s="43" t="n">
        <x:f>'Holdings'!L62</x:f>
        <x:v>141908.62241528422</x:v>
      </x:c>
      <x:c r="L63" s="43" t="n">
        <x:f>'Holdings'!U62</x:f>
        <x:v>141022.05416053403</x:v>
      </x:c>
      <x:c r="M63" s="44" t="n">
        <x:f>MAX(M62,K63)</x:f>
        <x:v>141908.62241528422</x:v>
      </x:c>
      <x:c r="N63" s="21" t="n">
        <x:f>K63/M63-1</x:f>
        <x:v>0</x:v>
      </x:c>
      <x:c r="O63" s="44" t="n">
        <x:f>MAX(O62,L63)</x:f>
        <x:v>141022.05416053403</x:v>
      </x:c>
      <x:c r="P63" s="21" t="n">
        <x:f>L63/O63-1</x:f>
        <x:v>0</x:v>
      </x:c>
      <x:c r="Q63" s="34" t="n">
        <x:f>'Holdings'!X62/K62</x:f>
        <x:v>0.008956820000000035</x:v>
      </x:c>
      <x:c r="R63" s="34" t="n">
        <x:f>'Holdings'!Y62/K62</x:f>
        <x:v>-0.004580000000000012</x:v>
      </x:c>
      <x:c r="S63" s="34" t="n">
        <x:f>'Holdings'!Z62/K62</x:f>
        <x:v>-0.000749999999999964</x:v>
      </x:c>
      <x:c r="T63" s="34" t="n">
        <x:f>'Holdings'!AA62/K62</x:f>
        <x:v>0.0003249999999999938</x:v>
      </x:c>
    </x:row>
    <x:row r="64" ht="22" customHeight="1">
      <x:c r="A64" s="2"/>
      <x:c r="B64" s="2"/>
      <x:c r="C64" s="42" t="n">
        <x:f>IF(AND(ISNUMBER('Data'!C63),'Data'!C63=EOMONTH(C63,1),COUNTIF('Data'!$C$8:$C$67,'Data'!C63)=1),'Data'!C63,NA())</x:f>
        <x:v>45900</x:v>
      </x:c>
      <x:c r="D64" s="34" t="n">
        <x:f>IF(AND(ISNUMBER(C64),ISNUMBER('Data'!D63),'Data'!D63&gt;-1),'Data'!D63,NA())</x:f>
        <x:v>0.020255830000000002</x:v>
      </x:c>
      <x:c r="E64" s="34" t="n">
        <x:f>IF(AND(ISNUMBER(C64),ISNUMBER('Data'!E63),'Data'!E63&gt;-1),'Data'!E63,NA())</x:f>
        <x:v>0.0482</x:v>
      </x:c>
      <x:c r="F64" s="34" t="n">
        <x:f>IF(AND(ISNUMBER(C64),ISNUMBER('Data'!F63),'Data'!F63&gt;-1),'Data'!F63,NA())</x:f>
        <x:v>0.0118</x:v>
      </x:c>
      <x:c r="G64" s="34" t="n">
        <x:f>IF(AND(ISNUMBER(C64),ISNUMBER('Data'!G63),'Data'!G63&gt;-1),'Data'!G63,NA())</x:f>
        <x:v>0.0393</x:v>
      </x:c>
      <x:c r="H64" s="34" t="n">
        <x:f>'Holdings'!V63</x:f>
        <x:v>0.025077823279667566</x:v>
      </x:c>
      <x:c r="I64" s="34" t="n">
        <x:f>'Holdings'!W63</x:f>
        <x:v>0.016923393445021695</x:v>
      </x:c>
      <x:c r="J64" s="21" t="n">
        <x:f>H64-I64</x:f>
        <x:v>0.008154429834645871</x:v>
      </x:c>
      <x:c r="K64" s="43" t="n">
        <x:f>'Holdings'!L63</x:f>
        <x:v>145467.3817700758</x:v>
      </x:c>
      <x:c r="L64" s="43" t="n">
        <x:f>'Holdings'!U63</x:f>
        <x:v>143408.6258675179</x:v>
      </x:c>
      <x:c r="M64" s="44" t="n">
        <x:f>MAX(M63,K64)</x:f>
        <x:v>145467.3817700758</x:v>
      </x:c>
      <x:c r="N64" s="21" t="n">
        <x:f>K64/M64-1</x:f>
        <x:v>0</x:v>
      </x:c>
      <x:c r="O64" s="44" t="n">
        <x:f>MAX(O63,L64)</x:f>
        <x:v>143408.6258675179</x:v>
      </x:c>
      <x:c r="P64" s="21" t="n">
        <x:f>L64/O64-1</x:f>
        <x:v>0</x:v>
      </x:c>
      <x:c r="Q64" s="34" t="n">
        <x:f>'Holdings'!X63/K63</x:f>
        <x:v>0.008251152752789086</x:v>
      </x:c>
      <x:c r="R64" s="34" t="n">
        <x:f>'Holdings'!Y63/K63</x:f>
        <x:v>0.009382167363370098</x:v>
      </x:c>
      <x:c r="S64" s="34" t="n">
        <x:f>'Holdings'!Z63/K63</x:f>
        <x:v>0.0035172504592899724</x:v>
      </x:c>
      <x:c r="T64" s="34" t="n">
        <x:f>'Holdings'!AA63/K63</x:f>
        <x:v>0.0039272527042184</x:v>
      </x:c>
    </x:row>
    <x:row r="65" ht="22" customHeight="1">
      <x:c r="A65" s="2"/>
      <x:c r="B65" s="2"/>
      <x:c r="C65" s="42" t="n">
        <x:f>IF(AND(ISNUMBER('Data'!C64),'Data'!C64=EOMONTH(C64,1),COUNTIF('Data'!$C$8:$C$67,'Data'!C64)=1),'Data'!C64,NA())</x:f>
        <x:v>45930</x:v>
      </x:c>
      <x:c r="D65" s="34" t="n">
        <x:f>IF(AND(ISNUMBER(C65),ISNUMBER('Data'!D64),'Data'!D64&gt;-1),'Data'!D64,NA())</x:f>
        <x:v>0.0365041</x:v>
      </x:c>
      <x:c r="E65" s="34" t="n">
        <x:f>IF(AND(ISNUMBER(C65),ISNUMBER('Data'!E64),'Data'!E64&gt;-1),'Data'!E64,NA())</x:f>
        <x:v>0.023700000000000002</x:v>
      </x:c>
      <x:c r="F65" s="34" t="n">
        <x:f>IF(AND(ISNUMBER(C65),ISNUMBER('Data'!F64),'Data'!F64&gt;-1),'Data'!F64,NA())</x:f>
        <x:v>0.011000000000000001</x:v>
      </x:c>
      <x:c r="G65" s="34" t="n">
        <x:f>IF(AND(ISNUMBER(C65),ISNUMBER('Data'!G64),'Data'!G64&gt;-1),'Data'!G64,NA())</x:f>
        <x:v>0.1153</x:v>
      </x:c>
      <x:c r="H65" s="34" t="n">
        <x:f>'Holdings'!V64</x:f>
        <x:v>0.03443529187051242</x:v>
      </x:c>
      <x:c r="I65" s="34" t="n">
        <x:f>'Holdings'!W64</x:f>
        <x:v>0.02650359143162251</x:v>
      </x:c>
      <x:c r="J65" s="21" t="n">
        <x:f>H65-I65</x:f>
        <x:v>0.00793170043888991</x:v>
      </x:c>
      <x:c r="K65" s="43" t="n">
        <x:f>'Holdings'!L64</x:f>
        <x:v>150476.59351896762</x:v>
      </x:c>
      <x:c r="L65" s="43" t="n">
        <x:f>'Holdings'!U64</x:f>
        <x:v>147209.469495281</x:v>
      </x:c>
      <x:c r="M65" s="44" t="n">
        <x:f>MAX(M64,K65)</x:f>
        <x:v>150476.59351896762</x:v>
      </x:c>
      <x:c r="N65" s="21" t="n">
        <x:f>K65/M65-1</x:f>
        <x:v>0</x:v>
      </x:c>
      <x:c r="O65" s="44" t="n">
        <x:f>MAX(O64,L65)</x:f>
        <x:v>147209.469495281</x:v>
      </x:c>
      <x:c r="P65" s="21" t="n">
        <x:f>L65/O65-1</x:f>
        <x:v>0</x:v>
      </x:c>
      <x:c r="Q65" s="34" t="n">
        <x:f>'Holdings'!X64/K64</x:f>
        <x:v>0.014799889619585123</x:v>
      </x:c>
      <x:c r="R65" s="34" t="n">
        <x:f>'Holdings'!Y64/K64</x:f>
        <x:v>0.004717281584198511</x:v>
      </x:c>
      <x:c r="S65" s="34" t="n">
        <x:f>'Holdings'!Z64/K64</x:f>
        <x:v>0.0032363226291162077</x:v>
      </x:c>
      <x:c r="T65" s="34" t="n">
        <x:f>'Holdings'!AA64/K64</x:f>
        <x:v>0.011681798037612802</x:v>
      </x:c>
    </x:row>
    <x:row r="66" ht="22" customHeight="1">
      <x:c r="A66" s="2"/>
      <x:c r="B66" s="2"/>
      <x:c r="C66" s="42" t="n">
        <x:f>IF(AND(ISNUMBER('Data'!C65),'Data'!C65=EOMONTH(C65,1),COUNTIF('Data'!$C$8:$C$67,'Data'!C65)=1),'Data'!C65,NA())</x:f>
        <x:v>45961</x:v>
      </x:c>
      <x:c r="D66" s="34" t="n">
        <x:f>IF(AND(ISNUMBER(C66),ISNUMBER('Data'!D65),'Data'!D65&gt;-1),'Data'!D65,NA())</x:f>
        <x:v>0.02340071</x:v>
      </x:c>
      <x:c r="E66" s="34" t="n">
        <x:f>IF(AND(ISNUMBER(C66),ISNUMBER('Data'!E65),'Data'!E65&gt;-1),'Data'!E65,NA())</x:f>
        <x:v>0.0068000000000000005</x:v>
      </x:c>
      <x:c r="F66" s="34" t="n">
        <x:f>IF(AND(ISNUMBER(C66),ISNUMBER('Data'!F65),'Data'!F65&gt;-1),'Data'!F65,NA())</x:f>
        <x:v>0.0062</x:v>
      </x:c>
      <x:c r="G66" s="34" t="n">
        <x:f>IF(AND(ISNUMBER(C66),ISNUMBER('Data'!G65),'Data'!G65&gt;-1),'Data'!G65,NA())</x:f>
        <x:v>0.04846</x:v>
      </x:c>
      <x:c r="H66" s="34" t="n">
        <x:f>'Holdings'!V65</x:f>
        <x:v>0.017426283999999903</x:v>
      </x:c>
      <x:c r="I66" s="34" t="n">
        <x:f>'Holdings'!W65</x:f>
        <x:v>0.016520426000000032</x:v>
      </x:c>
      <x:c r="J66" s="21" t="n">
        <x:f>H66-I66</x:f>
        <x:v>0.0009058579999998706</x:v>
      </x:c>
      <x:c r="K66" s="43" t="n">
        <x:f>'Holdings'!L65</x:f>
        <x:v>153098.8413729817</x:v>
      </x:c>
      <x:c r="L66" s="43" t="n">
        <x:f>'Holdings'!U65</x:f>
        <x:v>149641.43264257704</x:v>
      </x:c>
      <x:c r="M66" s="44" t="n">
        <x:f>MAX(M65,K66)</x:f>
        <x:v>153098.8413729817</x:v>
      </x:c>
      <x:c r="N66" s="21" t="n">
        <x:f>K66/M66-1</x:f>
        <x:v>0</x:v>
      </x:c>
      <x:c r="O66" s="44" t="n">
        <x:f>MAX(O65,L66)</x:f>
        <x:v>149641.43264257704</x:v>
      </x:c>
      <x:c r="P66" s="21" t="n">
        <x:f>L66/O66-1</x:f>
        <x:v>0</x:v>
      </x:c>
      <x:c r="Q66" s="34" t="n">
        <x:f>'Holdings'!X65/K65</x:f>
        <x:v>0.009360283999999986</x:v>
      </x:c>
      <x:c r="R66" s="34" t="n">
        <x:f>'Holdings'!Y65/K65</x:f>
        <x:v>0.0013599999999999908</x:v>
      </x:c>
      <x:c r="S66" s="34" t="n">
        <x:f>'Holdings'!Z65/K65</x:f>
        <x:v>0.0018600000000000042</x:v>
      </x:c>
      <x:c r="T66" s="34" t="n">
        <x:f>'Holdings'!AA65/K65</x:f>
        <x:v>0.004845999999999994</x:v>
      </x:c>
    </x:row>
    <x:row r="67" ht="22" customHeight="1">
      <x:c r="A67" s="2"/>
      <x:c r="B67" s="2"/>
      <x:c r="C67" s="42" t="n">
        <x:f>IF(AND(ISNUMBER('Data'!C66),'Data'!C66=EOMONTH(C66,1),COUNTIF('Data'!$C$8:$C$67,'Data'!C66)=1),'Data'!C66,NA())</x:f>
        <x:v>45991</x:v>
      </x:c>
      <x:c r="D67" s="34" t="n">
        <x:f>IF(AND(ISNUMBER(C67),ISNUMBER('Data'!D66),'Data'!D66&gt;-1),'Data'!D66,NA())</x:f>
        <x:v>0.00239073</x:v>
      </x:c>
      <x:c r="E67" s="34" t="n">
        <x:f>IF(AND(ISNUMBER(C67),ISNUMBER('Data'!E66),'Data'!E66&gt;-1),'Data'!E66,NA())</x:f>
        <x:v>0.00797816</x:v>
      </x:c>
      <x:c r="F67" s="34" t="n">
        <x:f>IF(AND(ISNUMBER(C67),ISNUMBER('Data'!F66),'Data'!F66&gt;-1),'Data'!F66,NA())</x:f>
        <x:v>0.0062</x:v>
      </x:c>
      <x:c r="G67" s="34" t="n">
        <x:f>IF(AND(ISNUMBER(C67),ISNUMBER('Data'!G66),'Data'!G66&gt;-1),'Data'!G66,NA())</x:f>
        <x:v>0.04456</x:v>
      </x:c>
      <x:c r="H67" s="34" t="n">
        <x:f>'Holdings'!V66</x:f>
        <x:v>0.008972268667444272</x:v>
      </x:c>
      <x:c r="I67" s="34" t="n">
        <x:f>'Holdings'!W66</x:f>
        <x:v>0.0038989682511809676</x:v>
      </x:c>
      <x:c r="J67" s="21" t="n">
        <x:f>H67-I67</x:f>
        <x:v>0.005073300416263304</x:v>
      </x:c>
      <x:c r="K67" s="43" t="n">
        <x:f>'Holdings'!L66</x:f>
        <x:v>154472.48531045453</x:v>
      </x:c>
      <x:c r="L67" s="43" t="n">
        <x:f>'Holdings'!U66</x:f>
        <x:v>150224.8798375117</x:v>
      </x:c>
      <x:c r="M67" s="44" t="n">
        <x:f>MAX(M66,K67)</x:f>
        <x:v>154472.48531045453</x:v>
      </x:c>
      <x:c r="N67" s="21" t="n">
        <x:f>K67/M67-1</x:f>
        <x:v>0</x:v>
      </x:c>
      <x:c r="O67" s="44" t="n">
        <x:f>MAX(O66,L67)</x:f>
        <x:v>150224.8798375117</x:v>
      </x:c>
      <x:c r="P67" s="21" t="n">
        <x:f>L67/O67-1</x:f>
        <x:v>0</x:v>
      </x:c>
      <x:c r="Q67" s="34" t="n">
        <x:f>'Holdings'!X66/K66</x:f>
        <x:v>0.0009619074395440918</x:v>
      </x:c>
      <x:c r="R67" s="34" t="n">
        <x:f>'Holdings'!Y66/K66</x:f>
        <x:v>0.0015789667741667997</x:v>
      </x:c>
      <x:c r="S67" s="34" t="n">
        <x:f>'Holdings'!Z66/K66</x:f>
        <x:v>0.0018394767556447486</x:v>
      </x:c>
      <x:c r="T67" s="34" t="n">
        <x:f>'Holdings'!AA66/K66</x:f>
        <x:v>0.004591917698088482</x:v>
      </x:c>
    </x:row>
    <x:row r="68" ht="22" customHeight="1">
      <x:c r="A68" s="2"/>
      <x:c r="B68" s="2"/>
      <x:c r="C68" s="53" t="n">
        <x:f>IF(AND(ISNUMBER('Data'!C67),'Data'!C67=EOMONTH(C67,1),COUNTIF('Data'!$C$8:$C$67,'Data'!C67)=1),'Data'!C67,NA())</x:f>
        <x:v>46022</x:v>
      </x:c>
      <x:c r="D68" s="54" t="n">
        <x:f>IF(AND(ISNUMBER(C68),ISNUMBER('Data'!D67),'Data'!D67&gt;-1),'Data'!D67,NA())</x:f>
        <x:v>0.0005832</x:v>
      </x:c>
      <x:c r="E68" s="54" t="n">
        <x:f>IF(AND(ISNUMBER(C68),ISNUMBER('Data'!E67),'Data'!E67&gt;-1),'Data'!E67,NA())</x:f>
        <x:v>0.02606514</x:v>
      </x:c>
      <x:c r="F68" s="54" t="n">
        <x:f>IF(AND(ISNUMBER(C68),ISNUMBER('Data'!F67),'Data'!F67&gt;-1),'Data'!F67,NA())</x:f>
        <x:v>-0.0024</x:v>
      </x:c>
      <x:c r="G68" s="54" t="n">
        <x:f>IF(AND(ISNUMBER(C68),ISNUMBER('Data'!G67),'Data'!G67&gt;-1),'Data'!G67,NA())</x:f>
        <x:v>0.02766</x:v>
      </x:c>
      <x:c r="H68" s="54" t="n">
        <x:f>'Holdings'!V67</x:f>
        <x:v>0.007627424398272797</x:v>
      </x:c>
      <x:c r="I68" s="54" t="n">
        <x:f>'Holdings'!W67</x:f>
        <x:v>-0.0006006723295294281</x:v>
      </x:c>
      <x:c r="J68" s="28" t="n">
        <x:f>H68-I68</x:f>
        <x:v>0.008228096727802225</x:v>
      </x:c>
      <x:c r="K68" s="55" t="n">
        <x:f>'Holdings'!L67</x:f>
        <x:v>155650.71251377332</x:v>
      </x:c>
      <x:c r="L68" s="55" t="n">
        <x:f>'Holdings'!U67</x:f>
        <x:v>150134.6439089864</x:v>
      </x:c>
      <x:c r="M68" s="56" t="n">
        <x:f>MAX(M67,K68)</x:f>
        <x:v>155650.71251377332</x:v>
      </x:c>
      <x:c r="N68" s="28" t="n">
        <x:f>K68/M68-1</x:f>
        <x:v>0</x:v>
      </x:c>
      <x:c r="O68" s="56" t="n">
        <x:f>MAX(O67,L68)</x:f>
        <x:v>150224.8798375117</x:v>
      </x:c>
      <x:c r="P68" s="28" t="n">
        <x:f>L68/O68-1</x:f>
        <x:v>-0.0006006723295294281</x:v>
      </x:c>
      <x:c r="Q68" s="54" t="n">
        <x:f>'Holdings'!X67/K67</x:f>
        <x:v>0.00023311921898161024</x:v>
      </x:c>
      <x:c r="R68" s="54" t="n">
        <x:f>'Holdings'!Y67/K67</x:f>
        <x:v>0.00515349909257784</x:v>
      </x:c>
      <x:c r="S68" s="54" t="n">
        <x:f>'Holdings'!Z67/K67</x:f>
        <x:v>-0.0007100990629542859</x:v>
      </x:c>
      <x:c r="T68" s="54" t="n">
        <x:f>'Holdings'!AA67/K67</x:f>
        <x:v>0.002950905149667664</x:v>
      </x:c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33" customHeight="1">
      <x:c r="A72" s="2"/>
      <x:c r="B72" s="2"/>
      <x:c r="C72" s="11" t="str">
        <x:v>Fund index (start = 1)</x:v>
      </x:c>
      <x:c r="D72" s="11" t="str">
        <x:v>IVV</x:v>
      </x:c>
      <x:c r="E72" s="11" t="str">
        <x:v>IEFA</x:v>
      </x:c>
      <x:c r="F72" s="11" t="str">
        <x:v>AGG</x:v>
      </x:c>
      <x:c r="G72" s="11" t="str">
        <x:v>IAU</x:v>
      </x:c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22" customHeight="1">
      <x:c r="A73" s="2"/>
      <x:c r="B73" s="2"/>
      <x:c r="C73" s="12" t="n">
        <x:v>44196</x:v>
      </x:c>
      <x:c r="D73" s="66" t="n">
        <x:v>1</x:v>
      </x:c>
      <x:c r="E73" s="66" t="n">
        <x:v>1</x:v>
      </x:c>
      <x:c r="F73" s="66" t="n">
        <x:v>1</x:v>
      </x:c>
      <x:c r="G73" s="66" t="n">
        <x:v>1</x:v>
      </x:c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22" customHeight="1">
      <x:c r="C74" s="65" t="n">
        <x:f>C9</x:f>
        <x:v>44227</x:v>
      </x:c>
      <x:c r="D74" s="67" t="n">
        <x:f>D73*(1+D9)</x:f>
        <x:v>0.9899</x:v>
      </x:c>
      <x:c r="E74" s="67" t="n">
        <x:f>E73*(1+E9)</x:f>
        <x:v>0.9905</x:v>
      </x:c>
      <x:c r="F74" s="67" t="n">
        <x:f>F73*(1+F9)</x:f>
        <x:v>0.9929</x:v>
      </x:c>
      <x:c r="G74" s="67" t="n">
        <x:f>G73*(1+G9)</x:f>
        <x:v>0.985</x:v>
      </x:c>
    </x:row>
    <x:row r="75" ht="22" customHeight="1">
      <x:c r="C75" s="65" t="n">
        <x:f>C10</x:f>
        <x:v>44255</x:v>
      </x:c>
      <x:c r="D75" s="67" t="n">
        <x:f>D74*(1+D10)</x:f>
        <x:v>1.0171222500000001</x:v>
      </x:c>
      <x:c r="E75" s="67" t="n">
        <x:f>E74*(1+E10)</x:f>
        <x:v>1.0135786500000001</x:v>
      </x:c>
      <x:c r="F75" s="67" t="n">
        <x:f>F74*(1+F10)</x:f>
        <x:v>0.97820508</x:v>
      </x:c>
      <x:c r="G75" s="67" t="n">
        <x:f>G74*(1+G10)</x:f>
        <x:v>0.921172</x:v>
      </x:c>
    </x:row>
    <x:row r="76" ht="22" customHeight="1">
      <x:c r="C76" s="65" t="n">
        <x:f>C11</x:f>
        <x:v>44286</x:v>
      </x:c>
      <x:c r="D76" s="67" t="n">
        <x:f>D75*(1+D11)</x:f>
        <x:v>1.0615704923250002</x:v>
      </x:c>
      <x:c r="E76" s="67" t="n">
        <x:f>E75*(1+E11)</x:f>
        <x:v>1.0371950325450003</x:v>
      </x:c>
      <x:c r="F76" s="67" t="n">
        <x:f>F75*(1+F11)</x:f>
        <x:v>0.966075337008</x:v>
      </x:c>
      <x:c r="G76" s="67" t="n">
        <x:f>G75*(1+G11)</x:f>
        <x:v>0.8934447228</x:v>
      </x:c>
    </x:row>
    <x:row r="77" ht="22" customHeight="1">
      <x:c r="C77" s="65" t="n">
        <x:f>C12</x:f>
        <x:v>44316</x:v>
      </x:c>
      <x:c r="D77" s="67" t="n">
        <x:f>D76*(1+D12)</x:f>
        <x:v>1.1181521995659227</x:v>
      </x:c>
      <x:c r="E77" s="67" t="n">
        <x:f>E76*(1+E12)</x:f>
        <x:v>1.0708001515994583</x:v>
      </x:c>
      <x:c r="F77" s="67" t="n">
        <x:f>F76*(1+F12)</x:f>
        <x:v>0.9737073321703632</x:v>
      </x:c>
      <x:c r="G77" s="67" t="n">
        <x:f>G76*(1+G12)</x:f>
        <x:v>0.9339177687428399</x:v>
      </x:c>
    </x:row>
    <x:row r="78" ht="22" customHeight="1">
      <x:c r="C78" s="65" t="n">
        <x:f>C13</x:f>
        <x:v>44347</x:v>
      </x:c>
      <x:c r="D78" s="67" t="n">
        <x:f>D77*(1+D13)</x:f>
        <x:v>1.1258674497429275</x:v>
      </x:c>
      <x:c r="E78" s="67" t="n">
        <x:f>E77*(1+E13)</x:f>
        <x:v>1.1063507166325601</x:v>
      </x:c>
      <x:c r="F78" s="67" t="n">
        <x:f>F77*(1+F13)</x:f>
        <x:v>0.9766284541668742</x:v>
      </x:c>
      <x:c r="G78" s="67" t="n">
        <x:f>G77*(1+G13)</x:f>
        <x:v>1.0032144671835588</x:v>
      </x:c>
    </x:row>
    <x:row r="79" ht="22" customHeight="1">
      <x:c r="C79" s="65" t="n">
        <x:f>C14</x:f>
        <x:v>44377</x:v>
      </x:c>
      <x:c r="D79" s="67" t="n">
        <x:f>D78*(1+D14)</x:f>
        <x:v>1.152100161321938</x:v>
      </x:c>
      <x:c r="E79" s="67" t="n">
        <x:f>E78*(1+E14)</x:f>
        <x:v>1.0914149819580206</x:v>
      </x:c>
      <x:c r="F79" s="67" t="n">
        <x:f>F78*(1+F14)</x:f>
        <x:v>0.9836601790368757</x:v>
      </x:c>
      <x:c r="G79" s="67" t="n">
        <x:f>G78*(1+G14)</x:f>
        <x:v>0.9308827040996241</x:v>
      </x:c>
    </x:row>
    <x:row r="80" ht="22" customHeight="1">
      <x:c r="C80" s="65" t="n">
        <x:f>C15</x:f>
        <x:v>44408</x:v>
      </x:c>
      <x:c r="D80" s="67" t="n">
        <x:f>D79*(1+D15)</x:f>
        <x:v>1.179404935145268</x:v>
      </x:c>
      <x:c r="E80" s="67" t="n">
        <x:f>E79*(1+E15)</x:f>
        <x:v>1.1018925657848175</x:v>
      </x:c>
      <x:c r="F80" s="67" t="n">
        <x:f>F79*(1+F15)</x:f>
        <x:v>0.9946771730420888</x:v>
      </x:c>
      <x:c r="G80" s="67" t="n">
        <x:f>G79*(1+G15)</x:f>
        <x:v>0.9635566870135208</x:v>
      </x:c>
    </x:row>
    <x:row r="81" ht="22" customHeight="1">
      <x:c r="C81" s="65" t="n">
        <x:f>C16</x:f>
        <x:v>44439</x:v>
      </x:c>
      <x:c r="D81" s="67" t="n">
        <x:f>D80*(1+D16)</x:f>
        <x:v>1.215258845173684</x:v>
      </x:c>
      <x:c r="E81" s="67" t="n">
        <x:f>E80*(1+E16)</x:f>
        <x:v>1.1208451179163166</x:v>
      </x:c>
      <x:c r="F81" s="67" t="n">
        <x:f>F80*(1+F16)</x:f>
        <x:v>0.9927872864133088</x:v>
      </x:c>
      <x:c r="G81" s="67" t="n">
        <x:f>G80*(1+G16)</x:f>
        <x:v>0.9577753468914397</x:v>
      </x:c>
    </x:row>
    <x:row r="82" ht="22" customHeight="1">
      <x:c r="C82" s="65" t="n">
        <x:f>C17</x:f>
        <x:v>44469</x:v>
      </x:c>
      <x:c r="D82" s="67" t="n">
        <x:f>D81*(1+D17)</x:f>
        <x:v>1.1587493088731078</x:v>
      </x:c>
      <x:c r="E82" s="67" t="n">
        <x:f>E81*(1+E17)</x:f>
        <x:v>1.0827363839071618</x:v>
      </x:c>
      <x:c r="F82" s="67" t="n">
        <x:f>F81*(1+F17)</x:f>
        <x:v>0.9842493157501543</x:v>
      </x:c>
      <x:c r="G82" s="67" t="n">
        <x:f>G81*(1+G17)</x:f>
        <x:v>0.9195601105504713</x:v>
      </x:c>
    </x:row>
    <x:row r="83" ht="22" customHeight="1">
      <x:c r="C83" s="65" t="n">
        <x:f>C18</x:f>
        <x:v>44500</x:v>
      </x:c>
      <x:c r="D83" s="67" t="n">
        <x:f>D82*(1+D18)</x:f>
        <x:v>1.2398617604942255</x:v>
      </x:c>
      <x:c r="E83" s="67" t="n">
        <x:f>E82*(1+E18)</x:f>
        <x:v>1.1145688335940325</x:v>
      </x:c>
      <x:c r="F83" s="67" t="n">
        <x:f>F82*(1+F18)</x:f>
        <x:v>0.9837571910922792</x:v>
      </x:c>
      <x:c r="G83" s="67" t="n">
        <x:f>G82*(1+G18)</x:f>
        <x:v>0.9331696001866182</x:v>
      </x:c>
    </x:row>
    <x:row r="84" ht="22" customHeight="1">
      <x:c r="C84" s="65" t="n">
        <x:f>C19</x:f>
        <x:v>44530</x:v>
      </x:c>
      <x:c r="D84" s="67" t="n">
        <x:f>D83*(1+D19)</x:f>
        <x:v>1.2313067143468153</x:v>
      </x:c>
      <x:c r="E84" s="67" t="n">
        <x:f>E83*(1+E19)</x:f>
        <x:v>1.0625184690651912</x:v>
      </x:c>
      <x:c r="F84" s="67" t="n">
        <x:f>F83*(1+F19)</x:f>
        <x:v>0.9867084626655559</x:v>
      </x:c>
      <x:c r="G84" s="67" t="n">
        <x:f>G83*(1+G19)</x:f>
        <x:v>0.951739675230332</x:v>
      </x:c>
    </x:row>
    <x:row r="85" ht="22" customHeight="1">
      <x:c r="C85" s="65" t="n">
        <x:f>C20</x:f>
        <x:v>44561</x:v>
      </x:c>
      <x:c r="D85" s="67" t="n">
        <x:f>D84*(1+D20)</x:f>
        <x:v>1.2864692551495525</x:v>
      </x:c>
      <x:c r="E85" s="67" t="n">
        <x:f>E84*(1+E20)</x:f>
        <x:v>1.1128818444988813</x:v>
      </x:c>
      <x:c r="F85" s="67" t="n">
        <x:f>F84*(1+F20)</x:f>
        <x:v>0.9834523247387595</x:v>
      </x:c>
      <x:c r="G85" s="67" t="n">
        <x:f>G84*(1+G20)</x:f>
        <x:v>0.9597342885022667</x:v>
      </x:c>
    </x:row>
    <x:row r="86" ht="22" customHeight="1">
      <x:c r="C86" s="65" t="n">
        <x:f>C21</x:f>
        <x:v>44592</x:v>
      </x:c>
      <x:c r="D86" s="67" t="n">
        <x:f>D85*(1+D21)</x:f>
        <x:v>1.2198301477328057</x:v>
      </x:c>
      <x:c r="E86" s="67" t="n">
        <x:f>E85*(1+E21)</x:f>
        <x:v>1.0662520952143781</x:v>
      </x:c>
      <x:c r="F86" s="67" t="n">
        <x:f>F85*(1+F21)</x:f>
        <x:v>0.9629965163841933</x:v>
      </x:c>
      <x:c r="G86" s="67" t="n">
        <x:f>G85*(1+G21)</x:f>
        <x:v>0.9463939818920852</x:v>
      </x:c>
    </x:row>
    <x:row r="87" ht="22" customHeight="1">
      <x:c r="C87" s="65" t="n">
        <x:f>C22</x:f>
        <x:v>44620</x:v>
      </x:c>
      <x:c r="D87" s="67" t="n">
        <x:f>D86*(1+D22)</x:f>
        <x:v>1.1832352433008215</x:v>
      </x:c>
      <x:c r="E87" s="67" t="n">
        <x:f>E86*(1+E22)</x:f>
        <x:v>1.0354374096626826</x:v>
      </x:c>
      <x:c r="F87" s="67" t="n">
        <x:f>F86*(1+F22)</x:f>
        <x:v>0.9522109554006903</x:v>
      </x:c>
      <x:c r="G87" s="67" t="n">
        <x:f>G86*(1+G22)</x:f>
        <x:v>1.0064899997422325</x:v>
      </x:c>
    </x:row>
    <x:row r="88" ht="22" customHeight="1">
      <x:c r="C88" s="65" t="n">
        <x:f>C23</x:f>
        <x:v>44651</x:v>
      </x:c>
      <x:c r="D88" s="67" t="n">
        <x:f>D87*(1+D23)</x:f>
        <x:v>1.227133270827282</x:v>
      </x:c>
      <x:c r="E88" s="67" t="n">
        <x:f>E87*(1+E23)</x:f>
        <x:v>1.0331594473614247</x:v>
      </x:c>
      <x:c r="F88" s="67" t="n">
        <x:f>F87*(1+F23)</x:f>
        <x:v>0.9258347119360912</x:v>
      </x:c>
      <x:c r="G88" s="67" t="n">
        <x:f>G87*(1+G23)</x:f>
        <x:v>1.0232983827379278</x:v>
      </x:c>
    </x:row>
    <x:row r="89" ht="22" customHeight="1">
      <x:c r="C89" s="65" t="n">
        <x:f>C24</x:f>
        <x:v>44681</x:v>
      </x:c>
      <x:c r="D89" s="67" t="n">
        <x:f>D88*(1+D24)</x:f>
        <x:v>1.120127249611143</x:v>
      </x:c>
      <x:c r="E89" s="67" t="n">
        <x:f>E88*(1+E24)</x:f>
        <x:v>0.9663140311171405</x:v>
      </x:c>
      <x:c r="F89" s="67" t="n">
        <x:f>F88*(1+F24)</x:f>
        <x:v>0.8908381598249069</x:v>
      </x:c>
      <x:c r="G89" s="67" t="n">
        <x:f>G88*(1+G24)</x:f>
        <x:v>1.006823278775847</x:v>
      </x:c>
    </x:row>
    <x:row r="90" ht="22" customHeight="1">
      <x:c r="C90" s="65" t="n">
        <x:f>C25</x:f>
        <x:v>44712</x:v>
      </x:c>
      <x:c r="D90" s="67" t="n">
        <x:f>D89*(1+D25)</x:f>
        <x:v>1.122143478660443</x:v>
      </x:c>
      <x:c r="E90" s="67" t="n">
        <x:f>E89*(1+E25)</x:f>
        <x:v>0.9829346324523555</x:v>
      </x:c>
      <x:c r="F90" s="67" t="n">
        <x:f>F89*(1+F25)</x:f>
        <x:v>0.8966286078637687</x:v>
      </x:c>
      <x:c r="G90" s="67" t="n">
        <x:f>G89*(1+G25)</x:f>
        <x:v>0.9683626295266097</x:v>
      </x:c>
    </x:row>
    <x:row r="91" ht="22" customHeight="1">
      <x:c r="C91" s="65" t="n">
        <x:f>C26</x:f>
        <x:v>44742</x:v>
      </x:c>
      <x:c r="D91" s="67" t="n">
        <x:f>D90*(1+D26)</x:f>
        <x:v>1.0294544273230903</x:v>
      </x:c>
      <x:c r="E91" s="67" t="n">
        <x:f>E90*(1+E26)</x:f>
        <x:v>0.8928978201197196</x:v>
      </x:c>
      <x:c r="F91" s="67" t="n">
        <x:f>F90*(1+F26)</x:f>
        <x:v>0.882641201581094</x:v>
      </x:c>
      <x:c r="G91" s="67" t="n">
        <x:f>G90*(1+G26)</x:f>
        <x:v>0.9567422779722904</x:v>
      </x:c>
    </x:row>
    <x:row r="92" ht="22" customHeight="1">
      <x:c r="C92" s="65" t="n">
        <x:f>C27</x:f>
        <x:v>44773</x:v>
      </x:c>
      <x:c r="D92" s="67" t="n">
        <x:f>D91*(1+D27)</x:f>
        <x:v>1.1243701255222793</x:v>
      </x:c>
      <x:c r="E92" s="67" t="n">
        <x:f>E91*(1+E27)</x:f>
        <x:v>0.9412035921881965</x:v>
      </x:c>
      <x:c r="F92" s="67" t="n">
        <x:f>F91*(1+F27)</x:f>
        <x:v>0.9040011186593565</x:v>
      </x:c>
      <x:c r="G92" s="67" t="n">
        <x:f>G91*(1+G27)</x:f>
        <x:v>0.9230649497876657</x:v>
      </x:c>
    </x:row>
    <x:row r="93" ht="22" customHeight="1">
      <x:c r="C93" s="65" t="n">
        <x:f>C28</x:f>
        <x:v>44804</x:v>
      </x:c>
      <x:c r="D93" s="67" t="n">
        <x:f>D92*(1+D28)</x:f>
        <x:v>1.0784843783130924</x:v>
      </x:c>
      <x:c r="E93" s="67" t="n">
        <x:f>E92*(1+E28)</x:f>
        <x:v>0.8862373024044058</x:v>
      </x:c>
      <x:c r="F93" s="67" t="n">
        <x:f>F92*(1+F28)</x:f>
        <x:v>0.8787794874487604</x:v>
      </x:c>
      <x:c r="G93" s="67" t="n">
        <x:f>G92*(1+G28)</x:f>
        <x:v>0.9031267468722523</x:v>
      </x:c>
    </x:row>
    <x:row r="94" ht="22" customHeight="1">
      <x:c r="C94" s="65" t="n">
        <x:f>C29</x:f>
        <x:v>44834</x:v>
      </x:c>
      <x:c r="D94" s="67" t="n">
        <x:f>D93*(1+D29)</x:f>
        <x:v>0.9791204094405036</x:v>
      </x:c>
      <x:c r="E94" s="67" t="n">
        <x:f>E93*(1+E29)</x:f>
        <x:v>0.8007154027223806</x:v>
      </x:c>
      <x:c r="F94" s="67" t="n">
        <x:f>F93*(1+F29)</x:f>
        <x:v>0.8409040915397188</x:v>
      </x:c>
      <x:c r="G94" s="67" t="n">
        <x:f>G93*(1+G29)</x:f>
        <x:v>0.8797086703258548</x:v>
      </x:c>
    </x:row>
    <x:row r="95" ht="22" customHeight="1">
      <x:c r="C95" s="65" t="n">
        <x:f>C30</x:f>
        <x:v>44865</x:v>
      </x:c>
      <x:c r="D95" s="67" t="n">
        <x:f>D94*(1+D30)</x:f>
        <x:v>1.0583604968908704</x:v>
      </x:c>
      <x:c r="E95" s="67" t="n">
        <x:f>E94*(1+E30)</x:f>
        <x:v>0.8465163237581007</x:v>
      </x:c>
      <x:c r="F95" s="67" t="n">
        <x:f>F94*(1+F30)</x:f>
        <x:v>0.8299723383497024</x:v>
      </x:c>
      <x:c r="G95" s="67" t="n">
        <x:f>G94*(1+G30)</x:f>
        <x:v>0.8622904386534028</x:v>
      </x:c>
    </x:row>
    <x:row r="96" ht="22" customHeight="1">
      <x:c r="C96" s="65" t="n">
        <x:f>C31</x:f>
        <x:v>44895</x:v>
      </x:c>
      <x:c r="D96" s="67" t="n">
        <x:f>D95*(1+D31)</x:f>
        <x:v>1.1174707349962032</x:v>
      </x:c>
      <x:c r="E96" s="67" t="n">
        <x:f>E95*(1+E31)</x:f>
        <x:v>0.9610499823625717</x:v>
      </x:c>
      <x:c r="F96" s="67" t="n">
        <x:f>F95*(1+F31)</x:f>
        <x:v>0.8605983176348063</x:v>
      </x:c>
      <x:c r="G96" s="67" t="n">
        <x:f>G95*(1+G31)</x:f>
        <x:v>0.9223403448012257</x:v>
      </x:c>
    </x:row>
    <x:row r="97" ht="22" customHeight="1">
      <x:c r="C97" s="65" t="n">
        <x:f>C32</x:f>
        <x:v>44926</x:v>
      </x:c>
      <x:c r="D97" s="67" t="n">
        <x:f>D96*(1+D32)</x:f>
        <x:v>1.0530776684110261</x:v>
      </x:c>
      <x:c r="E97" s="67" t="n">
        <x:f>E96*(1+E32)</x:f>
        <x:v>0.9445199226659354</x:v>
      </x:c>
      <x:c r="F97" s="67" t="n">
        <x:f>F96*(1+F32)</x:f>
        <x:v>0.8550904884019436</x:v>
      </x:c>
      <x:c r="G97" s="67" t="n">
        <x:f>G96*(1+G32)</x:f>
        <x:v>0.9531096187037946</x:v>
      </x:c>
    </x:row>
    <x:row r="98" ht="22" customHeight="1">
      <x:c r="C98" s="65" t="n">
        <x:f>C33</x:f>
        <x:v>44957</x:v>
      </x:c>
      <x:c r="D98" s="67" t="n">
        <x:f>D97*(1+D33)</x:f>
        <x:v>1.1192236776962496</x:v>
      </x:c>
      <x:c r="E98" s="67" t="n">
        <x:f>E97*(1+E33)</x:f>
        <x:v>1.0247096641002733</x:v>
      </x:c>
      <x:c r="F98" s="67" t="n">
        <x:f>F97*(1+F33)</x:f>
        <x:v>0.8828809292750067</x:v>
      </x:c>
      <x:c r="G98" s="67" t="n">
        <x:f>G97*(1+G33)</x:f>
        <x:v>1.0115543005227114</x:v>
      </x:c>
    </x:row>
    <x:row r="99" ht="22" customHeight="1">
      <x:c r="C99" s="65" t="n">
        <x:f>C34</x:f>
        <x:v>44985</x:v>
      </x:c>
      <x:c r="D99" s="67" t="n">
        <x:f>D98*(1+D34)</x:f>
        <x:v>1.0919062145906417</x:v>
      </x:c>
      <x:c r="E99" s="67" t="n">
        <x:f>E98*(1+E34)</x:f>
        <x:v>0.9939683741772651</x:v>
      </x:c>
      <x:c r="F99" s="67" t="n">
        <x:f>F98*(1+F34)</x:f>
        <x:v>0.8601026012997115</x:v>
      </x:c>
      <x:c r="G99" s="67" t="n">
        <x:f>G98*(1+G34)</x:f>
        <x:v>0.959155787755635</x:v>
      </x:c>
    </x:row>
    <x:row r="100" ht="22" customHeight="1">
      <x:c r="C100" s="65" t="n">
        <x:f>C35</x:f>
        <x:v>45016</x:v>
      </x:c>
      <x:c r="D100" s="67" t="n">
        <x:f>D99*(1+D35)</x:f>
        <x:v>1.1319788669323783</x:v>
      </x:c>
      <x:c r="E100" s="67" t="n">
        <x:f>E99*(1+E35)</x:f>
        <x:v>1.0214019013045577</x:v>
      </x:c>
      <x:c r="F100" s="67" t="n">
        <x:f>F99*(1+F35)</x:f>
        <x:v>0.8819492073727242</x:v>
      </x:c>
      <x:c r="G100" s="67" t="n">
        <x:f>G99*(1+G35)</x:f>
        <x:v>1.0404730154415578</x:v>
      </x:c>
    </x:row>
    <x:row r="101" ht="22" customHeight="1">
      <x:c r="C101" s="65" t="n">
        <x:f>C36</x:f>
        <x:v>45046</x:v>
      </x:c>
      <x:c r="D101" s="67" t="n">
        <x:f>D100*(1+D36)</x:f>
        <x:v>1.1496419934970632</x:v>
      </x:c>
      <x:c r="E101" s="67" t="n">
        <x:f>E100*(1+E36)</x:f>
        <x:v>1.0489797526397806</x:v>
      </x:c>
      <x:c r="F101" s="67" t="n">
        <x:f>F100*(1+F36)</x:f>
        <x:v>0.8871527076962232</x:v>
      </x:c>
      <x:c r="G101" s="67" t="n">
        <x:f>G100*(1+G36)</x:f>
        <x:v>1.0417736067108596</x:v>
      </x:c>
    </x:row>
    <x:row r="102" ht="22" customHeight="1">
      <x:c r="C102" s="65" t="n">
        <x:f>C37</x:f>
        <x:v>45077</x:v>
      </x:c>
      <x:c r="D102" s="67" t="n">
        <x:f>D101*(1+D37)</x:f>
        <x:v>1.1545920530141431</x:v>
      </x:c>
      <x:c r="E102" s="67" t="n">
        <x:f>E101*(1+E37)</x:f>
        <x:v>1.008069542286829</x:v>
      </x:c>
      <x:c r="F102" s="67" t="n">
        <x:f>F101*(1+F37)</x:f>
        <x:v>0.877571458453104</x:v>
      </x:c>
      <x:c r="G102" s="67" t="n">
        <x:f>G101*(1+G37)</x:f>
        <x:v>1.0320017702799118</x:v>
      </x:c>
    </x:row>
    <x:row r="103" ht="22" customHeight="1">
      <x:c r="C103" s="65" t="n">
        <x:f>C38</x:f>
        <x:v>45107</x:v>
      </x:c>
      <x:c r="D103" s="67" t="n">
        <x:f>D102*(1+D38)</x:f>
        <x:v>1.2308400998735416</x:v>
      </x:c>
      <x:c r="E103" s="67" t="n">
        <x:f>E102*(1+E38)</x:f>
        <x:v>1.0512149186967052</x:v>
      </x:c>
      <x:c r="F103" s="67" t="n">
        <x:f>F102*(1+F38)</x:f>
        <x:v>0.8744122012026728</x:v>
      </x:c>
      <x:c r="G103" s="67" t="n">
        <x:f>G102*(1+G38)</x:f>
        <x:v>1.004395722924924</x:v>
      </x:c>
    </x:row>
    <x:row r="104" ht="22" customHeight="1">
      <x:c r="C104" s="65" t="n">
        <x:f>C39</x:f>
        <x:v>45138</x:v>
      </x:c>
      <x:c r="D104" s="67" t="n">
        <x:f>D103*(1+D39)</x:f>
        <x:v>1.2703745484890687</x:v>
      </x:c>
      <x:c r="E104" s="67" t="n">
        <x:f>E103*(1+E39)</x:f>
        <x:v>1.081910394322649</x:v>
      </x:c>
      <x:c r="F104" s="67" t="n">
        <x:f>F103*(1+F39)</x:f>
        <x:v>0.8738001126618309</x:v>
      </x:c>
      <x:c r="G104" s="67" t="n">
        <x:f>G103*(1+G39)</x:f>
        <x:v>1.0348490012440077</x:v>
      </x:c>
    </x:row>
    <x:row r="105" ht="22" customHeight="1">
      <x:c r="C105" s="65" t="n">
        <x:f>C40</x:f>
        <x:v>45169</x:v>
      </x:c>
      <x:c r="D105" s="67" t="n">
        <x:f>D104*(1+D40)</x:f>
        <x:v>1.2502461497705157</x:v>
      </x:c>
      <x:c r="E105" s="67" t="n">
        <x:f>E104*(1+E40)</x:f>
        <x:v>1.0401486531017947</x:v>
      </x:c>
      <x:c r="F105" s="67" t="n">
        <x:f>F104*(1+F40)</x:f>
        <x:v>0.8682077919407952</x:v>
      </x:c>
      <x:c r="G105" s="67" t="n">
        <x:f>G104*(1+G40)</x:f>
        <x:v>1.0197402058258453</x:v>
      </x:c>
    </x:row>
    <x:row r="106" ht="22" customHeight="1">
      <x:c r="C106" s="65" t="n">
        <x:f>C41</x:f>
        <x:v>45199</x:v>
      </x:c>
      <x:c r="D106" s="67" t="n">
        <x:f>D105*(1+D41)</x:f>
        <x:v>1.1906263492617915</x:v>
      </x:c>
      <x:c r="E106" s="67" t="n">
        <x:f>E105*(1+E41)</x:f>
        <x:v>1.001455123206408</x:v>
      </x:c>
      <x:c r="F106" s="67" t="n">
        <x:f>F105*(1+F41)</x:f>
        <x:v>0.8462421348046931</x:v>
      </x:c>
      <x:c r="G106" s="67" t="n">
        <x:f>G105*(1+G41)</x:f>
        <x:v>0.981846659777357</x:v>
      </x:c>
    </x:row>
    <x:row r="107" ht="22" customHeight="1">
      <x:c r="C107" s="65" t="n">
        <x:f>C42</x:f>
        <x:v>45230</x:v>
      </x:c>
      <x:c r="D107" s="67" t="n">
        <x:f>D106*(1+D42)</x:f>
        <x:v>1.1655738325588534</x:v>
      </x:c>
      <x:c r="E107" s="67" t="n">
        <x:f>E106*(1+E42)</x:f>
        <x:v>0.9682068131159552</x:v>
      </x:c>
      <x:c r="F107" s="67" t="n">
        <x:f>F106*(1+F42)</x:f>
        <x:v>0.8329561332882593</x:v>
      </x:c>
      <x:c r="G107" s="67" t="n">
        <x:f>G106*(1+G42)</x:f>
        <x:v>1.047974032313362</x:v>
      </x:c>
    </x:row>
    <x:row r="108" ht="22" customHeight="1">
      <x:c r="C108" s="65" t="n">
        <x:f>C43</x:f>
        <x:v>45260</x:v>
      </x:c>
      <x:c r="D108" s="67" t="n">
        <x:f>D107*(1+D43)</x:f>
        <x:v>1.2719976936029953</x:v>
      </x:c>
      <x:c r="E108" s="67" t="n">
        <x:f>E107*(1+E43)</x:f>
        <x:v>1.0518598817691738</x:v>
      </x:c>
      <x:c r="F108" s="67" t="n">
        <x:f>F107*(1+F43)</x:f>
        <x:v>0.8705224548995598</x:v>
      </x:c>
      <x:c r="G108" s="67" t="n">
        <x:f>G107*(1+G43)</x:f>
        <x:v>1.067990336330547</x:v>
      </x:c>
    </x:row>
    <x:row r="109" ht="22" customHeight="1">
      <x:c r="C109" s="65" t="n">
        <x:f>C44</x:f>
        <x:v>45291</x:v>
      </x:c>
      <x:c r="D109" s="67" t="n">
        <x:f>D108*(1+D44)</x:f>
        <x:v>1.3297553183163804</x:v>
      </x:c>
      <x:c r="E109" s="67" t="n">
        <x:f>E108*(1+E44)</x:f>
        <x:v>1.1110795931127784</x:v>
      </x:c>
      <x:c r="F109" s="67" t="n">
        <x:f>F108*(1+F44)</x:f>
        <x:v>0.9028188379763334</x:v>
      </x:c>
      <x:c r="G109" s="67" t="n">
        <x:f>G108*(1+G44)</x:f>
        <x:v>1.0819169303162972</x:v>
      </x:c>
    </x:row>
    <x:row r="110" ht="22" customHeight="1">
      <x:c r="C110" s="65" t="n">
        <x:f>C45</x:f>
        <x:v>45322</x:v>
      </x:c>
      <x:c r="D110" s="67" t="n">
        <x:f>D109*(1+D45)</x:f>
        <x:v>1.3520677482167722</x:v>
      </x:c>
      <x:c r="E110" s="67" t="n">
        <x:f>E109*(1+E45)</x:f>
        <x:v>1.1026353882051212</x:v>
      </x:c>
      <x:c r="F110" s="67" t="n">
        <x:f>F109*(1+F45)</x:f>
        <x:v>0.9012840459517737</x:v>
      </x:c>
      <x:c r="G110" s="67" t="n">
        <x:f>G109*(1+G45)</x:f>
        <x:v>1.0768751974210233</x:v>
      </x:c>
    </x:row>
    <x:row r="111" ht="22" customHeight="1">
      <x:c r="C111" s="65" t="n">
        <x:f>C46</x:f>
        <x:v>45351</x:v>
      </x:c>
      <x:c r="D111" s="67" t="n">
        <x:f>D110*(1+D46)</x:f>
        <x:v>1.4241992375577437</x:v>
      </x:c>
      <x:c r="E111" s="67" t="n">
        <x:f>E110*(1+E46)</x:f>
        <x:v>1.1328475978419417</x:v>
      </x:c>
      <x:c r="F111" s="67" t="n">
        <x:f>F110*(1+F46)</x:f>
        <x:v>0.8885759409038537</x:v>
      </x:c>
      <x:c r="G111" s="67" t="n">
        <x:f>G110*(1+G46)</x:f>
        <x:v>1.0739353281320638</x:v>
      </x:c>
    </x:row>
    <x:row r="112" ht="22" customHeight="1">
      <x:c r="C112" s="65" t="n">
        <x:f>C47</x:f>
        <x:v>45382</x:v>
      </x:c>
      <x:c r="D112" s="67" t="n">
        <x:f>D111*(1+D47)</x:f>
        <x:v>1.4700083496779257</x:v>
      </x:c>
      <x:c r="E112" s="67" t="n">
        <x:f>E111*(1+E47)</x:f>
        <x:v>1.170458138090294</x:v>
      </x:c>
      <x:c r="F112" s="67" t="n">
        <x:f>F111*(1+F47)</x:f>
        <x:v>0.896039978807446</x:v>
      </x:c>
      <x:c r="G112" s="67" t="n">
        <x:f>G111*(1+G47)</x:f>
        <x:v>1.1609240897107609</x:v>
      </x:c>
    </x:row>
    <x:row r="113" ht="22" customHeight="1">
      <x:c r="C113" s="65" t="n">
        <x:f>C48</x:f>
        <x:v>45412</x:v>
      </x:c>
      <x:c r="D113" s="67" t="n">
        <x:f>D112*(1+D48)</x:f>
        <x:v>1.409958376292831</x:v>
      </x:c>
      <x:c r="E113" s="67" t="n">
        <x:f>E112*(1+E48)</x:f>
        <x:v>1.1328864318575955</x:v>
      </x:c>
      <x:c r="F113" s="67" t="n">
        <x:f>F112*(1+F48)</x:f>
        <x:v>0.8741766033245444</x:v>
      </x:c>
      <x:c r="G113" s="67" t="n">
        <x:f>G112*(1+G48)</x:f>
        <x:v>1.2092301410836255</x:v>
      </x:c>
    </x:row>
    <x:row r="114" ht="22" customHeight="1">
      <x:c r="C114" s="65" t="n">
        <x:f>C49</x:f>
        <x:v>45443</x:v>
      </x:c>
      <x:c r="D114" s="67" t="n">
        <x:f>D113*(1+D49)</x:f>
        <x:v>1.4798581061667466</x:v>
      </x:c>
      <x:c r="E114" s="67" t="n">
        <x:f>E113*(1+E49)</x:f>
        <x:v>1.192476258173305</x:v>
      </x:c>
      <x:c r="F114" s="67" t="n">
        <x:f>F113*(1+F49)</x:f>
        <x:v>0.8889501879207291</x:v>
      </x:c>
      <x:c r="G114" s="67" t="n">
        <x:f>G113*(1+G49)</x:f>
        <x:v>1.2305851453751624</x:v>
      </x:c>
    </x:row>
    <x:row r="115" ht="22" customHeight="1">
      <x:c r="C115" s="65" t="n">
        <x:f>C50</x:f>
        <x:v>45473</x:v>
      </x:c>
      <x:c r="D115" s="67" t="n">
        <x:f>D114*(1+D50)</x:f>
        <x:v>1.5329659960014685</x:v>
      </x:c>
      <x:c r="E115" s="67" t="n">
        <x:f>E114*(1+E50)</x:f>
        <x:v>1.164691561357867</x:v>
      </x:c>
      <x:c r="F115" s="67" t="n">
        <x:f>F114*(1+F50)</x:f>
        <x:v>0.8972174246683919</x:v>
      </x:c>
      <x:c r="G115" s="67" t="n">
        <x:f>G114*(1+G50)</x:f>
        <x:v>1.2212573099732187</x:v>
      </x:c>
    </x:row>
    <x:row r="116" ht="22" customHeight="1">
      <x:c r="C116" s="65" t="n">
        <x:f>C51</x:f>
        <x:v>45504</x:v>
      </x:c>
      <x:c r="D116" s="67" t="n">
        <x:f>D115*(1+D51)</x:f>
        <x:v>1.55160549817311</x:v>
      </x:c>
      <x:c r="E116" s="67" t="n">
        <x:f>E115*(1+E51)</x:f>
        <x:v>1.203359321194948</x:v>
      </x:c>
      <x:c r="F116" s="67" t="n">
        <x:f>F115*(1+F51)</x:f>
        <x:v>0.9183020341480992</x:v>
      </x:c>
      <x:c r="G116" s="67" t="n">
        <x:f>G115*(1+G51)</x:f>
        <x:v>1.2709624824891286</x:v>
      </x:c>
    </x:row>
    <x:row r="117" ht="22" customHeight="1">
      <x:c r="C117" s="65" t="n">
        <x:f>C52</x:f>
        <x:v>45535</x:v>
      </x:c>
      <x:c r="D117" s="67" t="n">
        <x:f>D116*(1+D52)</x:f>
        <x:v>1.5891667795889395</x:v>
      </x:c>
      <x:c r="E117" s="67" t="n">
        <x:f>E116*(1+E52)</x:f>
        <x:v>1.2423481632016644</x:v>
      </x:c>
      <x:c r="F117" s="67" t="n">
        <x:f>F116*(1+F52)</x:f>
        <x:v>0.9315255834398318</x:v>
      </x:c>
      <x:c r="G117" s="67" t="n">
        <x:f>G116*(1+G52)</x:f>
        <x:v>1.3162977142395158</x:v>
      </x:c>
    </x:row>
    <x:row r="118" ht="22" customHeight="1">
      <x:c r="C118" s="65" t="n">
        <x:f>C53</x:f>
        <x:v>45565</x:v>
      </x:c>
      <x:c r="D118" s="67" t="n">
        <x:f>D117*(1+D53)</x:f>
        <x:v>1.6230702066897003</x:v>
      </x:c>
      <x:c r="E118" s="67" t="n">
        <x:f>E117*(1+E53)</x:f>
        <x:v>1.2542747055684005</x:v>
      </x:c>
      <x:c r="F118" s="67" t="n">
        <x:f>F117*(1+F53)</x:f>
        <x:v>0.9440080262579257</x:v>
      </x:c>
      <x:c r="G118" s="67" t="n">
        <x:f>G117*(1+G53)</x:f>
        <x:v>1.3770711797059543</x:v>
      </x:c>
    </x:row>
    <x:row r="119" ht="22" customHeight="1">
      <x:c r="C119" s="65" t="n">
        <x:f>C54</x:f>
        <x:v>45596</x:v>
      </x:c>
      <x:c r="D119" s="67" t="n">
        <x:f>D118*(1+D54)</x:f>
        <x:v>1.608305851170335</x:v>
      </x:c>
      <x:c r="E119" s="67" t="n">
        <x:f>E118*(1+E54)</x:f>
        <x:v>1.1839098945860131</x:v>
      </x:c>
      <x:c r="F119" s="67" t="n">
        <x:f>F118*(1+F54)</x:f>
        <x:v>0.9205966272067291</x:v>
      </x:c>
      <x:c r="G119" s="67" t="n">
        <x:f>G118*(1+G54)</x:f>
        <x:v>1.4313415548981658</x:v>
      </x:c>
    </x:row>
    <x:row r="120" ht="22" customHeight="1">
      <x:c r="C120" s="65" t="n">
        <x:f>C55</x:f>
        <x:v>45626</x:v>
      </x:c>
      <x:c r="D120" s="67" t="n">
        <x:f>D119*(1+D55)</x:f>
        <x:v>1.70265249809145</x:v>
      </x:c>
      <x:c r="E120" s="67" t="n">
        <x:f>E119*(1+E55)</x:f>
        <x:v>1.182725984691427</x:v>
      </x:c>
      <x:c r="F120" s="67" t="n">
        <x:f>F119*(1+F55)</x:f>
        <x:v>0.9309993690941653</x:v>
      </x:c>
      <x:c r="G120" s="67" t="n">
        <x:f>G119*(1+G55)</x:f>
        <x:v>1.3875711301493798</x:v>
      </x:c>
    </x:row>
    <x:row r="121" ht="22" customHeight="1">
      <x:c r="C121" s="65" t="n">
        <x:f>C56</x:f>
        <x:v>45657</x:v>
      </x:c>
      <x:c r="D121" s="67" t="n">
        <x:f>D120*(1+D56)</x:f>
        <x:v>1.6620287929538111</x:v>
      </x:c>
      <x:c r="E121" s="67" t="n">
        <x:f>E120*(1+E56)</x:f>
        <x:v>1.148663476332314</x:v>
      </x:c>
      <x:c r="F121" s="67" t="n">
        <x:f>F120*(1+F56)</x:f>
        <x:v>0.9152654797564739</x:v>
      </x:c>
      <x:c r="G121" s="67" t="n">
        <x:f>G120*(1+G56)</x:f>
        <x:v>1.3662302861676825</x:v>
      </x:c>
    </x:row>
    <x:row r="122" ht="22" customHeight="1">
      <x:c r="C122" s="65" t="n">
        <x:f>C57</x:f>
        <x:v>45688</x:v>
      </x:c>
      <x:c r="D122" s="67" t="n">
        <x:f>D121*(1+D57)</x:f>
        <x:v>1.7082299358214927</x:v>
      </x:c>
      <x:c r="E122" s="67" t="n">
        <x:f>E121*(1+E57)</x:f>
        <x:v>1.2027655260675658</x:v>
      </x:c>
      <x:c r="F122" s="67" t="n">
        <x:f>F121*(1+F57)</x:f>
        <x:v>0.9199333337032319</x:v>
      </x:c>
      <x:c r="G122" s="67" t="n">
        <x:f>G121*(1+G57)</x:f>
        <x:v>1.471225083659669</x:v>
      </x:c>
    </x:row>
    <x:row r="123" ht="22" customHeight="1">
      <x:c r="C123" s="65" t="n">
        <x:f>C58</x:f>
        <x:v>45716</x:v>
      </x:c>
      <x:c r="D123" s="67" t="n">
        <x:f>D122*(1+D58)</x:f>
        <x:v>1.6858430871258705</x:v>
      </x:c>
      <x:c r="E123" s="67" t="n">
        <x:f>E122*(1+E58)</x:f>
        <x:v>1.2357213014818171</x:v>
      </x:c>
      <x:c r="F123" s="67" t="n">
        <x:f>F122*(1+F58)</x:f>
        <x:v>0.940171867044703</x:v>
      </x:c>
      <x:c r="G123" s="67" t="n">
        <x:f>G122*(1+G58)</x:f>
        <x:v>1.4827153515630511</x:v>
      </x:c>
    </x:row>
    <x:row r="124" ht="22" customHeight="1">
      <x:c r="C124" s="65" t="n">
        <x:f>C59</x:f>
        <x:v>45747</x:v>
      </x:c>
      <x:c r="D124" s="67" t="n">
        <x:f>D123*(1+D59)</x:f>
        <x:v>1.5908964213173724</x:v>
      </x:c>
      <x:c r="E124" s="67" t="n">
        <x:f>E123*(1+E59)</x:f>
        <x:v>1.2353505850913726</x:v>
      </x:c>
      <x:c r="F124" s="67" t="n">
        <x:f>F123*(1+F59)</x:f>
        <x:v>0.9405479357915209</x:v>
      </x:c>
      <x:c r="G124" s="67" t="n">
        <x:f>G123*(1+G59)</x:f>
        <x:v>1.629148319683418</x:v>
      </x:c>
    </x:row>
    <x:row r="125" ht="22" customHeight="1">
      <x:c r="C125" s="65" t="n">
        <x:f>C60</x:f>
        <x:v>45777</x:v>
      </x:c>
      <x:c r="D125" s="67" t="n">
        <x:f>D124*(1+D60)</x:f>
        <x:v>1.5800746347727168</x:v>
      </x:c>
      <x:c r="E125" s="67" t="n">
        <x:f>E124*(1+E60)</x:f>
        <x:v>1.2874823797822286</x:v>
      </x:c>
      <x:c r="F125" s="67" t="n">
        <x:f>F124*(1+F60)</x:f>
        <x:v>0.9442160727411077</x:v>
      </x:c>
      <x:c r="G125" s="67" t="n">
        <x:f>G124*(1+G60)</x:f>
        <x:v>1.7265713892004866</x:v>
      </x:c>
    </x:row>
    <x:row r="126" ht="22" customHeight="1">
      <x:c r="C126" s="65" t="n">
        <x:f>C61</x:f>
        <x:v>45808</x:v>
      </x:c>
      <x:c r="D126" s="67" t="n">
        <x:f>D125*(1+D61)</x:f>
        <x:v>1.6794982872456279</x:v>
      </x:c>
      <x:c r="E126" s="67" t="n">
        <x:f>E125*(1+E61)</x:f>
        <x:v>1.3486377928218845</x:v>
      </x:c>
      <x:c r="F126" s="67" t="n">
        <x:f>F125*(1+F61)</x:f>
        <x:v>0.9374177170173718</x:v>
      </x:c>
      <x:c r="G126" s="67" t="n">
        <x:f>G125*(1+G61)</x:f>
        <x:v>1.713397649500887</x:v>
      </x:c>
    </x:row>
    <x:row r="127" ht="22" customHeight="1">
      <x:c r="C127" s="65" t="n">
        <x:f>C62</x:f>
        <x:v>45838</x:v>
      </x:c>
      <x:c r="D127" s="67" t="n">
        <x:f>D126*(1+D62)</x:f>
        <x:v>1.7648850382531165</x:v>
      </x:c>
      <x:c r="E127" s="67" t="n">
        <x:f>E126*(1+E62)</x:f>
        <x:v>1.387073969917308</x:v>
      </x:c>
      <x:c r="F127" s="67" t="n">
        <x:f>F126*(1+F62)</x:f>
        <x:v>0.9518539498594394</x:v>
      </x:c>
      <x:c r="G127" s="67" t="n">
        <x:f>G126*(1+G62)</x:f>
        <x:v>1.7182122968959843</x:v>
      </x:c>
    </x:row>
    <x:row r="128" ht="22" customHeight="1">
      <x:c r="C128" s="65" t="n">
        <x:f>C63</x:f>
        <x:v>45869</x:v>
      </x:c>
      <x:c r="D128" s="67" t="n">
        <x:f>D127*(1+D63)</x:f>
        <x:v>1.8044044322739323</x:v>
      </x:c>
      <x:c r="E128" s="67" t="n">
        <x:f>E127*(1+E63)</x:f>
        <x:v>1.3553099760062017</x:v>
      </x:c>
      <x:c r="F128" s="67" t="n">
        <x:f>F127*(1+F63)</x:f>
        <x:v>0.9494743149847908</x:v>
      </x:c>
      <x:c r="G128" s="67" t="n">
        <x:f>G127*(1+G63)</x:f>
        <x:v>1.7237964868608961</x:v>
      </x:c>
    </x:row>
    <x:row r="129" ht="22" customHeight="1">
      <x:c r="C129" s="65" t="n">
        <x:f>C64</x:f>
        <x:v>45900</x:v>
      </x:c>
      <x:c r="D129" s="67" t="n">
        <x:f>D128*(1+D64)</x:f>
        <x:v>1.8409541417053195</x:v>
      </x:c>
      <x:c r="E129" s="67" t="n">
        <x:f>E128*(1+E64)</x:f>
        <x:v>1.4206359168497007</x:v>
      </x:c>
      <x:c r="F129" s="67" t="n">
        <x:f>F128*(1+F64)</x:f>
        <x:v>0.9606781119016115</x:v>
      </x:c>
      <x:c r="G129" s="67" t="n">
        <x:f>G128*(1+G64)</x:f>
        <x:v>1.7915416887945292</x:v>
      </x:c>
    </x:row>
    <x:row r="130" ht="22" customHeight="1">
      <x:c r="C130" s="65" t="n">
        <x:f>C65</x:f>
        <x:v>45930</x:v>
      </x:c>
      <x:c r="D130" s="67" t="n">
        <x:f>D129*(1+D65)</x:f>
        <x:v>1.9081565157895444</x:v>
      </x:c>
      <x:c r="E130" s="67" t="n">
        <x:f>E129*(1+E65)</x:f>
        <x:v>1.4543049880790386</x:v>
      </x:c>
      <x:c r="F130" s="67" t="n">
        <x:f>F129*(1+F65)</x:f>
        <x:v>0.9712455711325291</x:v>
      </x:c>
      <x:c r="G130" s="67" t="n">
        <x:f>G129*(1+G65)</x:f>
        <x:v>1.9981064455125384</x:v>
      </x:c>
    </x:row>
    <x:row r="131" ht="22" customHeight="1">
      <x:c r="C131" s="65" t="n">
        <x:f>C66</x:f>
        <x:v>45961</x:v>
      </x:c>
      <x:c r="D131" s="67" t="n">
        <x:f>D130*(1+D66)</x:f>
        <x:v>1.9528087330501458</x:v>
      </x:c>
      <x:c r="E131" s="67" t="n">
        <x:f>E130*(1+E66)</x:f>
        <x:v>1.464194261997976</x:v>
      </x:c>
      <x:c r="F131" s="67" t="n">
        <x:f>F130*(1+F66)</x:f>
        <x:v>0.9772672936735507</x:v>
      </x:c>
      <x:c r="G131" s="67" t="n">
        <x:f>G130*(1+G66)</x:f>
        <x:v>2.0949346838620757</x:v>
      </x:c>
    </x:row>
    <x:row r="132" ht="22" customHeight="1">
      <x:c r="C132" s="65" t="n">
        <x:f>C67</x:f>
        <x:v>45991</x:v>
      </x:c>
      <x:c r="D132" s="67" t="n">
        <x:f>D131*(1+D67)</x:f>
        <x:v>1.9574773714725107</x:v>
      </x:c>
      <x:c r="E132" s="67" t="n">
        <x:f>E131*(1+E67)</x:f>
        <x:v>1.4758758380912778</x:v>
      </x:c>
      <x:c r="F132" s="67" t="n">
        <x:f>F131*(1+F67)</x:f>
        <x:v>0.9833263508943267</x:v>
      </x:c>
      <x:c r="G132" s="67" t="n">
        <x:f>G131*(1+G67)</x:f>
        <x:v>2.18828497337497</x:v>
      </x:c>
    </x:row>
    <x:row r="133" ht="22" customHeight="1">
      <x:c r="C133" s="65" t="n">
        <x:f>C68</x:f>
        <x:v>46022</x:v>
      </x:c>
      <x:c r="D133" s="67" t="n">
        <x:f>D132*(1+D68)</x:f>
        <x:v>1.9586189722755531</x:v>
      </x:c>
      <x:c r="E133" s="67" t="n">
        <x:f>E132*(1+E68)</x:f>
        <x:v>1.5143447484337442</x:v>
      </x:c>
      <x:c r="F133" s="67" t="n">
        <x:f>F132*(1+F68)</x:f>
        <x:v>0.9809663676521804</x:v>
      </x:c>
      <x:c r="G133" s="67" t="n">
        <x:f>G132*(1+G68)</x:f>
        <x:v>2.2488129357385214</x:v>
      </x:c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T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31" customHeight="1">
      <x:c r="A2" s="2"/>
      <x:c r="B2" s="2"/>
      <x:c r="C2" s="3" t="str">
        <x:v>Holdings value roll-forward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9" customHeight="1">
      <x:c r="A3" s="2"/>
      <x:c r="B3" s="2"/>
      <x:c r="C3" s="6" t="str">
        <x:v>Beginning values rebalance at the selected interval. Closing values include the monthly NAV total return. USD.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3" customHeight="1">
      <x:c r="A6" s="2"/>
      <x:c r="B6" s="2"/>
      <x:c r="C6" s="11" t="str">
        <x:v>Date</x:v>
      </x:c>
      <x:c r="D6" s="11" t="str">
        <x:v>Portfolio opening</x:v>
      </x:c>
      <x:c r="E6" s="2"/>
      <x:c r="F6" s="2"/>
      <x:c r="G6" s="2"/>
      <x:c r="H6" s="57" t="str">
        <x:v>Portfolio closing</x:v>
      </x:c>
      <x:c r="I6" s="57"/>
      <x:c r="J6" s="57"/>
      <x:c r="K6" s="57"/>
      <x:c r="L6" s="2"/>
      <x:c r="M6" s="57" t="str">
        <x:v>Benchmark opening</x:v>
      </x:c>
      <x:c r="N6" s="57"/>
      <x:c r="O6" s="57"/>
      <x:c r="P6" s="57"/>
      <x:c r="Q6" s="57" t="str">
        <x:v>Benchmark closing</x:v>
      </x:c>
      <x:c r="R6" s="57"/>
      <x:c r="S6" s="57"/>
      <x:c r="T6" s="57"/>
      <x:c r="U6" s="2"/>
      <x:c r="V6" s="2"/>
      <x:c r="W6" s="2"/>
      <x:c r="X6" s="57" t="str">
        <x:v>Portfolio dollar P&amp;L</x:v>
      </x:c>
      <x:c r="Y6" s="57"/>
      <x:c r="Z6" s="57"/>
      <x:c r="AA6" s="57"/>
      <x:c r="AB6" s="2"/>
    </x:row>
    <x:row r="7" ht="33" customHeight="1">
      <x:c r="A7" s="2"/>
      <x:c r="B7" s="2"/>
      <x:c r="C7" s="11" t="str">
        <x:v>Month end</x:v>
      </x:c>
      <x:c r="D7" s="11" t="str">
        <x:v>IVV</x:v>
      </x:c>
      <x:c r="E7" s="11" t="str">
        <x:v>IEFA</x:v>
      </x:c>
      <x:c r="F7" s="11" t="str">
        <x:v>AGG</x:v>
      </x:c>
      <x:c r="G7" s="11" t="str">
        <x:v>IAU</x:v>
      </x:c>
      <x:c r="H7" s="11" t="str">
        <x:v>IVV</x:v>
      </x:c>
      <x:c r="I7" s="11" t="str">
        <x:v>IEFA</x:v>
      </x:c>
      <x:c r="J7" s="11" t="str">
        <x:v>AGG</x:v>
      </x:c>
      <x:c r="K7" s="11" t="str">
        <x:v>IAU</x:v>
      </x:c>
      <x:c r="L7" s="11" t="str">
        <x:v>Portfolio total</x:v>
      </x:c>
      <x:c r="M7" s="11" t="str">
        <x:v>IVV</x:v>
      </x:c>
      <x:c r="N7" s="11" t="str">
        <x:v>IEFA</x:v>
      </x:c>
      <x:c r="O7" s="11" t="str">
        <x:v>AGG</x:v>
      </x:c>
      <x:c r="P7" s="11" t="str">
        <x:v>IAU</x:v>
      </x:c>
      <x:c r="Q7" s="11" t="str">
        <x:v>IVV</x:v>
      </x:c>
      <x:c r="R7" s="11" t="str">
        <x:v>IEFA</x:v>
      </x:c>
      <x:c r="S7" s="11" t="str">
        <x:v>AGG</x:v>
      </x:c>
      <x:c r="T7" s="11" t="str">
        <x:v>IAU</x:v>
      </x:c>
      <x:c r="U7" s="11" t="str">
        <x:v>Benchmark total</x:v>
      </x:c>
      <x:c r="V7" s="11" t="str">
        <x:v>Portfolio return</x:v>
      </x:c>
      <x:c r="W7" s="11" t="str">
        <x:v>Benchmark return</x:v>
      </x:c>
      <x:c r="X7" s="11" t="str">
        <x:v>IVV P&amp;L</x:v>
      </x:c>
      <x:c r="Y7" s="11" t="str">
        <x:v>IEFA P&amp;L</x:v>
      </x:c>
      <x:c r="Z7" s="11" t="str">
        <x:v>AGG P&amp;L</x:v>
      </x:c>
      <x:c r="AA7" s="11" t="str">
        <x:v>IAU P&amp;L</x:v>
      </x:c>
      <x:c r="AB7" s="11" t="str">
        <x:v>Rebalance USD</x:v>
      </x:c>
    </x:row>
    <x:row r="8" ht="22" customHeight="1">
      <x:c r="A8" s="2"/>
      <x:c r="B8" s="2"/>
      <x:c r="C8" s="42" t="n">
        <x:f>'Monthly'!C9</x:f>
        <x:v>44227</x:v>
      </x:c>
      <x:c r="D8" s="43" t="n">
        <x:f>'Allocation'!$G$16*'Allocation'!$G$8</x:f>
        <x:v>40000</x:v>
      </x:c>
      <x:c r="E8" s="43" t="n">
        <x:f>'Allocation'!$G$16*'Allocation'!$G$9</x:f>
        <x:v>20000</x:v>
      </x:c>
      <x:c r="F8" s="43" t="n">
        <x:f>'Allocation'!$G$16*'Allocation'!$G$10</x:f>
        <x:v>30000</x:v>
      </x:c>
      <x:c r="G8" s="43" t="n">
        <x:f>'Allocation'!$G$16*'Allocation'!$G$11</x:f>
        <x:v>10000</x:v>
      </x:c>
      <x:c r="H8" s="43" t="n">
        <x:f>D8*(1+'Monthly'!D9)</x:f>
        <x:v>39596</x:v>
      </x:c>
      <x:c r="I8" s="43" t="n">
        <x:f>E8*(1+'Monthly'!E9)</x:f>
        <x:v>19810</x:v>
      </x:c>
      <x:c r="J8" s="43" t="n">
        <x:f>F8*(1+'Monthly'!F9)</x:f>
        <x:v>29787</x:v>
      </x:c>
      <x:c r="K8" s="43" t="n">
        <x:f>G8*(1+'Monthly'!G9)</x:f>
        <x:v>9850</x:v>
      </x:c>
      <x:c r="L8" s="44" t="n">
        <x:f>SUM(H8:K8)</x:f>
        <x:v>99043</x:v>
      </x:c>
      <x:c r="M8" s="43" t="n">
        <x:f>'Allocation'!$G$16*'Allocation'!$H$8</x:f>
        <x:v>60000</x:v>
      </x:c>
      <x:c r="N8" s="43" t="n">
        <x:f>'Allocation'!$G$16*'Allocation'!$H$9</x:f>
        <x:v>0</x:v>
      </x:c>
      <x:c r="O8" s="43" t="n">
        <x:f>'Allocation'!$G$16*'Allocation'!$H$10</x:f>
        <x:v>40000</x:v>
      </x:c>
      <x:c r="P8" s="43" t="n">
        <x:f>'Allocation'!$G$16*'Allocation'!$H$11</x:f>
        <x:v>0</x:v>
      </x:c>
      <x:c r="Q8" s="43" t="n">
        <x:f>M8*(1+'Monthly'!D9)</x:f>
        <x:v>59394</x:v>
      </x:c>
      <x:c r="R8" s="43" t="n">
        <x:f>N8*(1+'Monthly'!E9)</x:f>
        <x:v>0</x:v>
      </x:c>
      <x:c r="S8" s="43" t="n">
        <x:f>O8*(1+'Monthly'!F9)</x:f>
        <x:v>39716</x:v>
      </x:c>
      <x:c r="T8" s="43" t="n">
        <x:f>P8*(1+'Monthly'!G9)</x:f>
        <x:v>0</x:v>
      </x:c>
      <x:c r="U8" s="44" t="n">
        <x:f>SUM(Q8:T8)</x:f>
        <x:v>99110</x:v>
      </x:c>
      <x:c r="V8" s="21" t="n">
        <x:f>L8/SUM(D8:G8)-1</x:f>
        <x:v>-0.009569999999999967</x:v>
      </x:c>
      <x:c r="W8" s="21" t="n">
        <x:f>U8/SUM(M8:P8)-1</x:f>
        <x:v>-0.008900000000000019</x:v>
      </x:c>
      <x:c r="X8" s="44" t="n">
        <x:f>H8-D8</x:f>
        <x:v>-404</x:v>
      </x:c>
      <x:c r="Y8" s="44" t="n">
        <x:f>I8-E8</x:f>
        <x:v>-190</x:v>
      </x:c>
      <x:c r="Z8" s="44" t="n">
        <x:f>J8-F8</x:f>
        <x:v>-213</x:v>
      </x:c>
      <x:c r="AA8" s="44" t="n">
        <x:f>K8-G8</x:f>
        <x:v>-150</x:v>
      </x:c>
      <x:c r="AB8" s="44" t="n">
        <x:f>0</x:f>
        <x:v>0</x:v>
      </x:c>
    </x:row>
    <x:row r="9" ht="22" customHeight="1">
      <x:c r="A9" s="2"/>
      <x:c r="B9" s="2"/>
      <x:c r="C9" s="42" t="n">
        <x:f>'Monthly'!C10</x:f>
        <x:v>44255</x:v>
      </x:c>
      <x:c r="D9" s="43" t="n">
        <x:f>IF(MOD(ROW()-8,'Allocation'!$G$17)=0,L8*'Allocation'!$G$8,H8)</x:f>
        <x:v>39596</x:v>
      </x:c>
      <x:c r="E9" s="43" t="n">
        <x:f>IF(MOD(ROW()-8,'Allocation'!$G$17)=0,L8*'Allocation'!$G$9,I8)</x:f>
        <x:v>19810</x:v>
      </x:c>
      <x:c r="F9" s="43" t="n">
        <x:f>IF(MOD(ROW()-8,'Allocation'!$G$17)=0,L8*'Allocation'!$G$10,J8)</x:f>
        <x:v>29787</x:v>
      </x:c>
      <x:c r="G9" s="43" t="n">
        <x:f>IF(MOD(ROW()-8,'Allocation'!$G$17)=0,L8*'Allocation'!$G$11,K8)</x:f>
        <x:v>9850</x:v>
      </x:c>
      <x:c r="H9" s="43" t="n">
        <x:f>D9*(1+'Monthly'!D10)</x:f>
        <x:v>40684.89000000001</x:v>
      </x:c>
      <x:c r="I9" s="43" t="n">
        <x:f>E9*(1+'Monthly'!E10)</x:f>
        <x:v>20271.573</x:v>
      </x:c>
      <x:c r="J9" s="43" t="n">
        <x:f>F9*(1+'Monthly'!F10)</x:f>
        <x:v>29346.1524</x:v>
      </x:c>
      <x:c r="K9" s="43" t="n">
        <x:f>G9*(1+'Monthly'!G10)</x:f>
        <x:v>9211.720000000001</x:v>
      </x:c>
      <x:c r="L9" s="44" t="n">
        <x:f>SUM(H9:K9)</x:f>
        <x:v>99514.33540000001</x:v>
      </x:c>
      <x:c r="M9" s="43" t="n">
        <x:f>IF(MOD(ROW()-8,'Allocation'!$G$17)=0,U8*'Allocation'!$H$8,Q8)</x:f>
        <x:v>59394</x:v>
      </x:c>
      <x:c r="N9" s="43" t="n">
        <x:f>IF(MOD(ROW()-8,'Allocation'!$G$17)=0,U8*'Allocation'!$H$9,R8)</x:f>
        <x:v>0</x:v>
      </x:c>
      <x:c r="O9" s="43" t="n">
        <x:f>IF(MOD(ROW()-8,'Allocation'!$G$17)=0,U8*'Allocation'!$H$10,S8)</x:f>
        <x:v>39716</x:v>
      </x:c>
      <x:c r="P9" s="43" t="n">
        <x:f>IF(MOD(ROW()-8,'Allocation'!$G$17)=0,U8*'Allocation'!$H$11,T8)</x:f>
        <x:v>0</x:v>
      </x:c>
      <x:c r="Q9" s="43" t="n">
        <x:f>M9*(1+'Monthly'!D10)</x:f>
        <x:v>61027.33500000001</x:v>
      </x:c>
      <x:c r="R9" s="43" t="n">
        <x:f>N9*(1+'Monthly'!E10)</x:f>
        <x:v>0</x:v>
      </x:c>
      <x:c r="S9" s="43" t="n">
        <x:f>O9*(1+'Monthly'!F10)</x:f>
        <x:v>39128.203199999996</x:v>
      </x:c>
      <x:c r="T9" s="43" t="n">
        <x:f>P9*(1+'Monthly'!G10)</x:f>
        <x:v>0</x:v>
      </x:c>
      <x:c r="U9" s="44" t="n">
        <x:f>SUM(Q9:T9)</x:f>
        <x:v>100155.53820000001</x:v>
      </x:c>
      <x:c r="V9" s="21" t="n">
        <x:f>L9/SUM(D9:G9)-1</x:f>
        <x:v>0.004758896640853161</x:v>
      </x:c>
      <x:c r="W9" s="21" t="n">
        <x:f>U9/SUM(M9:P9)-1</x:f>
        <x:v>0.010549270507516972</x:v>
      </x:c>
      <x:c r="X9" s="44" t="n">
        <x:f>H9-D9</x:f>
        <x:v>1088.8900000000067</x:v>
      </x:c>
      <x:c r="Y9" s="44" t="n">
        <x:f>I9-E9</x:f>
        <x:v>461.5730000000003</x:v>
      </x:c>
      <x:c r="Z9" s="44" t="n">
        <x:f>J9-F9</x:f>
        <x:v>-440.84760000000097</x:v>
      </x:c>
      <x:c r="AA9" s="44" t="n">
        <x:f>K9-G9</x:f>
        <x:v>-638.2799999999988</x:v>
      </x:c>
      <x:c r="AB9" s="44" t="n">
        <x:f>(ABS(D9-H8)+ABS(E9-I8)+ABS(F9-J8)+ABS(G9-K8))/2</x:f>
        <x:v>0</x:v>
      </x:c>
    </x:row>
    <x:row r="10" ht="22" customHeight="1">
      <x:c r="A10" s="2"/>
      <x:c r="B10" s="2"/>
      <x:c r="C10" s="42" t="n">
        <x:f>'Monthly'!C11</x:f>
        <x:v>44286</x:v>
      </x:c>
      <x:c r="D10" s="43" t="n">
        <x:f>IF(MOD(ROW()-8,'Allocation'!$G$17)=0,L9*'Allocation'!$G$8,H9)</x:f>
        <x:v>40684.89000000001</x:v>
      </x:c>
      <x:c r="E10" s="43" t="n">
        <x:f>IF(MOD(ROW()-8,'Allocation'!$G$17)=0,L9*'Allocation'!$G$9,I9)</x:f>
        <x:v>20271.573</x:v>
      </x:c>
      <x:c r="F10" s="43" t="n">
        <x:f>IF(MOD(ROW()-8,'Allocation'!$G$17)=0,L9*'Allocation'!$G$10,J9)</x:f>
        <x:v>29346.1524</x:v>
      </x:c>
      <x:c r="G10" s="43" t="n">
        <x:f>IF(MOD(ROW()-8,'Allocation'!$G$17)=0,L9*'Allocation'!$G$11,K9)</x:f>
        <x:v>9211.720000000001</x:v>
      </x:c>
      <x:c r="H10" s="43" t="n">
        <x:f>D10*(1+'Monthly'!D11)</x:f>
        <x:v>42462.81969300001</x:v>
      </x:c>
      <x:c r="I10" s="43" t="n">
        <x:f>E10*(1+'Monthly'!E11)</x:f>
        <x:v>20743.900650900003</x:v>
      </x:c>
      <x:c r="J10" s="43" t="n">
        <x:f>F10*(1+'Monthly'!F11)</x:f>
        <x:v>28982.26011024</x:v>
      </x:c>
      <x:c r="K10" s="43" t="n">
        <x:f>G10*(1+'Monthly'!G11)</x:f>
        <x:v>8934.447228</x:v>
      </x:c>
      <x:c r="L10" s="44" t="n">
        <x:f>SUM(H10:K10)</x:f>
        <x:v>101123.42768214003</x:v>
      </x:c>
      <x:c r="M10" s="43" t="n">
        <x:f>IF(MOD(ROW()-8,'Allocation'!$G$17)=0,U9*'Allocation'!$H$8,Q9)</x:f>
        <x:v>61027.33500000001</x:v>
      </x:c>
      <x:c r="N10" s="43" t="n">
        <x:f>IF(MOD(ROW()-8,'Allocation'!$G$17)=0,U9*'Allocation'!$H$9,R9)</x:f>
        <x:v>0</x:v>
      </x:c>
      <x:c r="O10" s="43" t="n">
        <x:f>IF(MOD(ROW()-8,'Allocation'!$G$17)=0,U9*'Allocation'!$H$10,S9)</x:f>
        <x:v>39128.203199999996</x:v>
      </x:c>
      <x:c r="P10" s="43" t="n">
        <x:f>IF(MOD(ROW()-8,'Allocation'!$G$17)=0,U9*'Allocation'!$H$11,T9)</x:f>
        <x:v>0</x:v>
      </x:c>
      <x:c r="Q10" s="43" t="n">
        <x:f>M10*(1+'Monthly'!D11)</x:f>
        <x:v>63694.22953950001</x:v>
      </x:c>
      <x:c r="R10" s="43" t="n">
        <x:f>N10*(1+'Monthly'!E11)</x:f>
        <x:v>0</x:v>
      </x:c>
      <x:c r="S10" s="43" t="n">
        <x:f>O10*(1+'Monthly'!F11)</x:f>
        <x:v>38643.01348032</x:v>
      </x:c>
      <x:c r="T10" s="43" t="n">
        <x:f>P10*(1+'Monthly'!G11)</x:f>
        <x:v>0</x:v>
      </x:c>
      <x:c r="U10" s="44" t="n">
        <x:f>SUM(Q10:T10)</x:f>
        <x:v>102337.24301982002</x:v>
      </x:c>
      <x:c r="V10" s="21" t="n">
        <x:f>L10/SUM(D10:G10)-1</x:f>
        <x:v>0.01616945212639198</x:v>
      </x:c>
      <x:c r="W10" s="21" t="n">
        <x:f>U10/SUM(M10:P10)-1</x:f>
        <x:v>0.021783167052263908</x:v>
      </x:c>
      <x:c r="X10" s="44" t="n">
        <x:f>H10-D10</x:f>
        <x:v>1777.9296930000055</x:v>
      </x:c>
      <x:c r="Y10" s="44" t="n">
        <x:f>I10-E10</x:f>
        <x:v>472.3276509000025</x:v>
      </x:c>
      <x:c r="Z10" s="44" t="n">
        <x:f>J10-F10</x:f>
        <x:v>-363.8922897599987</x:v>
      </x:c>
      <x:c r="AA10" s="44" t="n">
        <x:f>K10-G10</x:f>
        <x:v>-277.27277200000026</x:v>
      </x:c>
      <x:c r="AB10" s="44" t="n">
        <x:f>(ABS(D10-H9)+ABS(E10-I9)+ABS(F10-J9)+ABS(G10-K9))/2</x:f>
        <x:v>0</x:v>
      </x:c>
    </x:row>
    <x:row r="11" ht="22" customHeight="1">
      <x:c r="A11" s="2"/>
      <x:c r="B11" s="2"/>
      <x:c r="C11" s="42" t="n">
        <x:f>'Monthly'!C12</x:f>
        <x:v>44316</x:v>
      </x:c>
      <x:c r="D11" s="43" t="n">
        <x:f>IF(MOD(ROW()-8,'Allocation'!$G$17)=0,L10*'Allocation'!$G$8,H10)</x:f>
        <x:v>40449.37107285601</x:v>
      </x:c>
      <x:c r="E11" s="43" t="n">
        <x:f>IF(MOD(ROW()-8,'Allocation'!$G$17)=0,L10*'Allocation'!$G$9,I10)</x:f>
        <x:v>20224.685536428005</x:v>
      </x:c>
      <x:c r="F11" s="43" t="n">
        <x:f>IF(MOD(ROW()-8,'Allocation'!$G$17)=0,L10*'Allocation'!$G$10,J10)</x:f>
        <x:v>30337.028304642008</x:v>
      </x:c>
      <x:c r="G11" s="43" t="n">
        <x:f>IF(MOD(ROW()-8,'Allocation'!$G$17)=0,L10*'Allocation'!$G$11,K10)</x:f>
        <x:v>10112.342768214003</x:v>
      </x:c>
      <x:c r="H11" s="43" t="n">
        <x:f>D11*(1+'Monthly'!D12)</x:f>
        <x:v>42605.32255103923</x:v>
      </x:c>
      <x:c r="I11" s="43" t="n">
        <x:f>E11*(1+'Monthly'!E12)</x:f>
        <x:v>20879.965347808273</x:v>
      </x:c>
      <x:c r="J11" s="43" t="n">
        <x:f>F11*(1+'Monthly'!F12)</x:f>
        <x:v>30576.69082824868</x:v>
      </x:c>
      <x:c r="K11" s="43" t="n">
        <x:f>G11*(1+'Monthly'!G12)</x:f>
        <x:v>10570.431895614096</x:v>
      </x:c>
      <x:c r="L11" s="44" t="n">
        <x:f>SUM(H11:K11)</x:f>
        <x:v>104632.41062271027</x:v>
      </x:c>
      <x:c r="M11" s="43" t="n">
        <x:f>IF(MOD(ROW()-8,'Allocation'!$G$17)=0,U10*'Allocation'!$H$8,Q10)</x:f>
        <x:v>61402.34581189201</x:v>
      </x:c>
      <x:c r="N11" s="43" t="n">
        <x:f>IF(MOD(ROW()-8,'Allocation'!$G$17)=0,U10*'Allocation'!$H$9,R10)</x:f>
        <x:v>0</x:v>
      </x:c>
      <x:c r="O11" s="43" t="n">
        <x:f>IF(MOD(ROW()-8,'Allocation'!$G$17)=0,U10*'Allocation'!$H$10,S10)</x:f>
        <x:v>40934.89720792801</x:v>
      </x:c>
      <x:c r="P11" s="43" t="n">
        <x:f>IF(MOD(ROW()-8,'Allocation'!$G$17)=0,U10*'Allocation'!$H$11,T10)</x:f>
        <x:v>0</x:v>
      </x:c>
      <x:c r="Q11" s="43" t="n">
        <x:f>M11*(1+'Monthly'!D12)</x:f>
        <x:v>64675.09084366585</x:v>
      </x:c>
      <x:c r="R11" s="43" t="n">
        <x:f>N11*(1+'Monthly'!E12)</x:f>
        <x:v>0</x:v>
      </x:c>
      <x:c r="S11" s="43" t="n">
        <x:f>O11*(1+'Monthly'!F12)</x:f>
        <x:v>41258.28289587064</x:v>
      </x:c>
      <x:c r="T11" s="43" t="n">
        <x:f>P11*(1+'Monthly'!G12)</x:f>
        <x:v>0</x:v>
      </x:c>
      <x:c r="U11" s="44" t="n">
        <x:f>SUM(Q11:T11)</x:f>
        <x:v>105933.37373953649</x:v>
      </x:c>
      <x:c r="V11" s="21" t="n">
        <x:f>L11/SUM(D11:G11)-1</x:f>
        <x:v>0.03469999999999995</x:v>
      </x:c>
      <x:c r="W11" s="21" t="n">
        <x:f>U11/SUM(M11:P11)-1</x:f>
        <x:v>0.03513999999999995</x:v>
      </x:c>
      <x:c r="X11" s="44" t="n">
        <x:f>H11-D11</x:f>
        <x:v>2155.9514781832186</x:v>
      </x:c>
      <x:c r="Y11" s="44" t="n">
        <x:f>I11-E11</x:f>
        <x:v>655.2798113802673</x:v>
      </x:c>
      <x:c r="Z11" s="44" t="n">
        <x:f>J11-F11</x:f>
        <x:v>239.66252360667204</x:v>
      </x:c>
      <x:c r="AA11" s="44" t="n">
        <x:f>K11-G11</x:f>
        <x:v>458.0891274000933</x:v>
      </x:c>
      <x:c r="AB11" s="44" t="n">
        <x:f>(ABS(D11-H10)+ABS(E11-I10)+ABS(F11-J10)+ABS(G11-K10))/2</x:f>
        <x:v>2532.663734616004</x:v>
      </x:c>
    </x:row>
    <x:row r="12" ht="22" customHeight="1">
      <x:c r="A12" s="2"/>
      <x:c r="B12" s="2"/>
      <x:c r="C12" s="42" t="n">
        <x:f>'Monthly'!C13</x:f>
        <x:v>44347</x:v>
      </x:c>
      <x:c r="D12" s="43" t="n">
        <x:f>IF(MOD(ROW()-8,'Allocation'!$G$17)=0,L11*'Allocation'!$G$8,H11)</x:f>
        <x:v>42605.32255103923</x:v>
      </x:c>
      <x:c r="E12" s="43" t="n">
        <x:f>IF(MOD(ROW()-8,'Allocation'!$G$17)=0,L11*'Allocation'!$G$9,I11)</x:f>
        <x:v>20879.965347808273</x:v>
      </x:c>
      <x:c r="F12" s="43" t="n">
        <x:f>IF(MOD(ROW()-8,'Allocation'!$G$17)=0,L11*'Allocation'!$G$10,J11)</x:f>
        <x:v>30576.69082824868</x:v>
      </x:c>
      <x:c r="G12" s="43" t="n">
        <x:f>IF(MOD(ROW()-8,'Allocation'!$G$17)=0,L11*'Allocation'!$G$11,K11)</x:f>
        <x:v>10570.431895614096</x:v>
      </x:c>
      <x:c r="H12" s="43" t="n">
        <x:f>D12*(1+'Monthly'!D13)</x:f>
        <x:v>42899.299276641395</x:v>
      </x:c>
      <x:c r="I12" s="43" t="n">
        <x:f>E12*(1+'Monthly'!E13)</x:f>
        <x:v>21573.180197355505</x:v>
      </x:c>
      <x:c r="J12" s="43" t="n">
        <x:f>F12*(1+'Monthly'!F13)</x:f>
        <x:v>30668.42090073342</x:v>
      </x:c>
      <x:c r="K12" s="43" t="n">
        <x:f>G12*(1+'Monthly'!G13)</x:f>
        <x:v>11354.757942268663</x:v>
      </x:c>
      <x:c r="L12" s="44" t="n">
        <x:f>SUM(H12:K12)</x:f>
        <x:v>106495.65831699899</x:v>
      </x:c>
      <x:c r="M12" s="43" t="n">
        <x:f>IF(MOD(ROW()-8,'Allocation'!$G$17)=0,U11*'Allocation'!$H$8,Q11)</x:f>
        <x:v>64675.09084366585</x:v>
      </x:c>
      <x:c r="N12" s="43" t="n">
        <x:f>IF(MOD(ROW()-8,'Allocation'!$G$17)=0,U11*'Allocation'!$H$9,R11)</x:f>
        <x:v>0</x:v>
      </x:c>
      <x:c r="O12" s="43" t="n">
        <x:f>IF(MOD(ROW()-8,'Allocation'!$G$17)=0,U11*'Allocation'!$H$10,S11)</x:f>
        <x:v>41258.28289587064</x:v>
      </x:c>
      <x:c r="P12" s="43" t="n">
        <x:f>IF(MOD(ROW()-8,'Allocation'!$G$17)=0,U11*'Allocation'!$H$11,T11)</x:f>
        <x:v>0</x:v>
      </x:c>
      <x:c r="Q12" s="43" t="n">
        <x:f>M12*(1+'Monthly'!D13)</x:f>
        <x:v>65121.34897048714</x:v>
      </x:c>
      <x:c r="R12" s="43" t="n">
        <x:f>N12*(1+'Monthly'!E13)</x:f>
        <x:v>0</x:v>
      </x:c>
      <x:c r="S12" s="43" t="n">
        <x:f>O12*(1+'Monthly'!F13)</x:f>
        <x:v>41382.057744558246</x:v>
      </x:c>
      <x:c r="T12" s="43" t="n">
        <x:f>P12*(1+'Monthly'!G13)</x:f>
        <x:v>0</x:v>
      </x:c>
      <x:c r="U12" s="44" t="n">
        <x:f>SUM(Q12:T12)</x:f>
        <x:v>106503.40671504539</x:v>
      </x:c>
      <x:c r="V12" s="21" t="n">
        <x:f>L12/SUM(D12:G12)-1</x:f>
        <x:v>0.01780755774620668</x:v>
      </x:c>
      <x:c r="W12" s="21" t="n">
        <x:f>U12/SUM(M12:P12)-1</x:f>
        <x:v>0.005381051838398543</x:v>
      </x:c>
      <x:c r="X12" s="44" t="n">
        <x:f>H12-D12</x:f>
        <x:v>293.97672560216597</x:v>
      </x:c>
      <x:c r="Y12" s="44" t="n">
        <x:f>I12-E12</x:f>
        <x:v>693.214849547232</x:v>
      </x:c>
      <x:c r="Z12" s="44" t="n">
        <x:f>J12-F12</x:f>
        <x:v>91.73007248474096</x:v>
      </x:c>
      <x:c r="AA12" s="44" t="n">
        <x:f>K12-G12</x:f>
        <x:v>784.3260466545671</x:v>
      </x:c>
      <x:c r="AB12" s="44" t="n">
        <x:f>(ABS(D12-H11)+ABS(E12-I11)+ABS(F12-J11)+ABS(G12-K11))/2</x:f>
        <x:v>0</x:v>
      </x:c>
    </x:row>
    <x:row r="13" ht="22" customHeight="1">
      <x:c r="A13" s="2"/>
      <x:c r="B13" s="2"/>
      <x:c r="C13" s="42" t="n">
        <x:f>'Monthly'!C14</x:f>
        <x:v>44377</x:v>
      </x:c>
      <x:c r="D13" s="43" t="n">
        <x:f>IF(MOD(ROW()-8,'Allocation'!$G$17)=0,L12*'Allocation'!$G$8,H12)</x:f>
        <x:v>42899.299276641395</x:v>
      </x:c>
      <x:c r="E13" s="43" t="n">
        <x:f>IF(MOD(ROW()-8,'Allocation'!$G$17)=0,L12*'Allocation'!$G$9,I12)</x:f>
        <x:v>21573.180197355505</x:v>
      </x:c>
      <x:c r="F13" s="43" t="n">
        <x:f>IF(MOD(ROW()-8,'Allocation'!$G$17)=0,L12*'Allocation'!$G$10,J12)</x:f>
        <x:v>30668.42090073342</x:v>
      </x:c>
      <x:c r="G13" s="43" t="n">
        <x:f>IF(MOD(ROW()-8,'Allocation'!$G$17)=0,L12*'Allocation'!$G$11,K12)</x:f>
        <x:v>11354.757942268663</x:v>
      </x:c>
      <x:c r="H13" s="43" t="n">
        <x:f>D13*(1+'Monthly'!D14)</x:f>
        <x:v>43898.85294978714</x:v>
      </x:c>
      <x:c r="I13" s="43" t="n">
        <x:f>E13*(1+'Monthly'!E14)</x:f>
        <x:v>21281.942264691206</x:v>
      </x:c>
      <x:c r="J13" s="43" t="n">
        <x:f>F13*(1+'Monthly'!F14)</x:f>
        <x:v>30889.233531218706</x:v>
      </x:c>
      <x:c r="K13" s="43" t="n">
        <x:f>G13*(1+'Monthly'!G14)</x:f>
        <x:v>10536.079894631092</x:v>
      </x:c>
      <x:c r="L13" s="44" t="n">
        <x:f>SUM(H13:K13)</x:f>
        <x:v>106606.10864032815</x:v>
      </x:c>
      <x:c r="M13" s="43" t="n">
        <x:f>IF(MOD(ROW()-8,'Allocation'!$G$17)=0,U12*'Allocation'!$H$8,Q12)</x:f>
        <x:v>65121.34897048714</x:v>
      </x:c>
      <x:c r="N13" s="43" t="n">
        <x:f>IF(MOD(ROW()-8,'Allocation'!$G$17)=0,U12*'Allocation'!$H$9,R12)</x:f>
        <x:v>0</x:v>
      </x:c>
      <x:c r="O13" s="43" t="n">
        <x:f>IF(MOD(ROW()-8,'Allocation'!$G$17)=0,U12*'Allocation'!$H$10,S12)</x:f>
        <x:v>41382.057744558246</x:v>
      </x:c>
      <x:c r="P13" s="43" t="n">
        <x:f>IF(MOD(ROW()-8,'Allocation'!$G$17)=0,U12*'Allocation'!$H$11,T12)</x:f>
        <x:v>0</x:v>
      </x:c>
      <x:c r="Q13" s="43" t="n">
        <x:f>M13*(1+'Monthly'!D14)</x:f>
        <x:v>66638.6764014995</x:v>
      </x:c>
      <x:c r="R13" s="43" t="n">
        <x:f>N13*(1+'Monthly'!E14)</x:f>
        <x:v>0</x:v>
      </x:c>
      <x:c r="S13" s="43" t="n">
        <x:f>O13*(1+'Monthly'!F14)</x:f>
        <x:v>41680.00856031907</x:v>
      </x:c>
      <x:c r="T13" s="43" t="n">
        <x:f>P13*(1+'Monthly'!G14)</x:f>
        <x:v>0</x:v>
      </x:c>
      <x:c r="U13" s="44" t="n">
        <x:f>SUM(Q13:T13)</x:f>
        <x:v>108318.68496181857</x:v>
      </x:c>
      <x:c r="V13" s="21" t="n">
        <x:f>L13/SUM(D13:G13)-1</x:f>
        <x:v>0.0010371345186710457</x:v>
      </x:c>
      <x:c r="W13" s="21" t="n">
        <x:f>U13/SUM(M13:P13)-1</x:f>
        <x:v>0.017044320954258563</x:v>
      </x:c>
      <x:c r="X13" s="44" t="n">
        <x:f>H13-D13</x:f>
        <x:v>999.5536731457469</x:v>
      </x:c>
      <x:c r="Y13" s="44" t="n">
        <x:f>I13-E13</x:f>
        <x:v>-291.23793266429857</x:v>
      </x:c>
      <x:c r="Z13" s="44" t="n">
        <x:f>J13-F13</x:f>
        <x:v>220.8126304852849</x:v>
      </x:c>
      <x:c r="AA13" s="44" t="n">
        <x:f>K13-G13</x:f>
        <x:v>-818.6780476375716</x:v>
      </x:c>
      <x:c r="AB13" s="44" t="n">
        <x:f>(ABS(D13-H12)+ABS(E13-I12)+ABS(F13-J12)+ABS(G13-K12))/2</x:f>
        <x:v>0</x:v>
      </x:c>
    </x:row>
    <x:row r="14" ht="22" customHeight="1">
      <x:c r="A14" s="2"/>
      <x:c r="B14" s="2"/>
      <x:c r="C14" s="42" t="n">
        <x:f>'Monthly'!C15</x:f>
        <x:v>44408</x:v>
      </x:c>
      <x:c r="D14" s="43" t="n">
        <x:f>IF(MOD(ROW()-8,'Allocation'!$G$17)=0,L13*'Allocation'!$G$8,H13)</x:f>
        <x:v>42642.44345613127</x:v>
      </x:c>
      <x:c r="E14" s="43" t="n">
        <x:f>IF(MOD(ROW()-8,'Allocation'!$G$17)=0,L13*'Allocation'!$G$9,I13)</x:f>
        <x:v>21321.221728065633</x:v>
      </x:c>
      <x:c r="F14" s="43" t="n">
        <x:f>IF(MOD(ROW()-8,'Allocation'!$G$17)=0,L13*'Allocation'!$G$10,J13)</x:f>
        <x:v>31981.832592098443</x:v>
      </x:c>
      <x:c r="G14" s="43" t="n">
        <x:f>IF(MOD(ROW()-8,'Allocation'!$G$17)=0,L13*'Allocation'!$G$11,K13)</x:f>
        <x:v>10660.610864032817</x:v>
      </x:c>
      <x:c r="H14" s="43" t="n">
        <x:f>D14*(1+'Monthly'!D15)</x:f>
        <x:v>43653.06936604158</x:v>
      </x:c>
      <x:c r="I14" s="43" t="n">
        <x:f>E14*(1+'Monthly'!E15)</x:f>
        <x:v>21525.905456655066</x:v>
      </x:c>
      <x:c r="J14" s="43" t="n">
        <x:f>F14*(1+'Monthly'!F15)</x:f>
        <x:v>32340.029117129947</x:v>
      </x:c>
      <x:c r="K14" s="43" t="n">
        <x:f>G14*(1+'Monthly'!G15)</x:f>
        <x:v>11034.798305360368</x:v>
      </x:c>
      <x:c r="L14" s="44" t="n">
        <x:f>SUM(H14:K14)</x:f>
        <x:v>108553.80224518696</x:v>
      </x:c>
      <x:c r="M14" s="43" t="n">
        <x:f>IF(MOD(ROW()-8,'Allocation'!$G$17)=0,U13*'Allocation'!$H$8,Q13)</x:f>
        <x:v>64991.210977091134</x:v>
      </x:c>
      <x:c r="N14" s="43" t="n">
        <x:f>IF(MOD(ROW()-8,'Allocation'!$G$17)=0,U13*'Allocation'!$H$9,R13)</x:f>
        <x:v>0</x:v>
      </x:c>
      <x:c r="O14" s="43" t="n">
        <x:f>IF(MOD(ROW()-8,'Allocation'!$G$17)=0,U13*'Allocation'!$H$10,S13)</x:f>
        <x:v>43327.47398472743</x:v>
      </x:c>
      <x:c r="P14" s="43" t="n">
        <x:f>IF(MOD(ROW()-8,'Allocation'!$G$17)=0,U13*'Allocation'!$H$11,T13)</x:f>
        <x:v>0</x:v>
      </x:c>
      <x:c r="Q14" s="43" t="n">
        <x:f>M14*(1+'Monthly'!D15)</x:f>
        <x:v>66531.5026772482</x:v>
      </x:c>
      <x:c r="R14" s="43" t="n">
        <x:f>N14*(1+'Monthly'!E15)</x:f>
        <x:v>0</x:v>
      </x:c>
      <x:c r="S14" s="43" t="n">
        <x:f>O14*(1+'Monthly'!F15)</x:f>
        <x:v>43812.74169335639</x:v>
      </x:c>
      <x:c r="T14" s="43" t="n">
        <x:f>P14*(1+'Monthly'!G15)</x:f>
        <x:v>0</x:v>
      </x:c>
      <x:c r="U14" s="44" t="n">
        <x:f>SUM(Q14:T14)</x:f>
        <x:v>110344.24437060457</x:v>
      </x:c>
      <x:c r="V14" s="21" t="n">
        <x:f>L14/SUM(D14:G14)-1</x:f>
        <x:v>0.01827000000000001</x:v>
      </x:c>
      <x:c r="W14" s="21" t="n">
        <x:f>U14/SUM(M14:P14)-1</x:f>
        <x:v>0.01869999999999994</x:v>
      </x:c>
      <x:c r="X14" s="44" t="n">
        <x:f>H14-D14</x:f>
        <x:v>1010.6259099103117</x:v>
      </x:c>
      <x:c r="Y14" s="44" t="n">
        <x:f>I14-E14</x:f>
        <x:v>204.68372858943258</x:v>
      </x:c>
      <x:c r="Z14" s="44" t="n">
        <x:f>J14-F14</x:f>
        <x:v>358.1965250315043</x:v>
      </x:c>
      <x:c r="AA14" s="44" t="n">
        <x:f>K14-G14</x:f>
        <x:v>374.1874413275509</x:v>
      </x:c>
      <x:c r="AB14" s="44" t="n">
        <x:f>(ABS(D14-H13)+ABS(E14-I13)+ABS(F14-J13)+ABS(G14-K13))/2</x:f>
        <x:v>1256.4094936558822</x:v>
      </x:c>
    </x:row>
    <x:row r="15" ht="22" customHeight="1">
      <x:c r="A15" s="2"/>
      <x:c r="B15" s="2"/>
      <x:c r="C15" s="42" t="n">
        <x:f>'Monthly'!C16</x:f>
        <x:v>44439</x:v>
      </x:c>
      <x:c r="D15" s="43" t="n">
        <x:f>IF(MOD(ROW()-8,'Allocation'!$G$17)=0,L14*'Allocation'!$G$8,H14)</x:f>
        <x:v>43653.06936604158</x:v>
      </x:c>
      <x:c r="E15" s="43" t="n">
        <x:f>IF(MOD(ROW()-8,'Allocation'!$G$17)=0,L14*'Allocation'!$G$9,I14)</x:f>
        <x:v>21525.905456655066</x:v>
      </x:c>
      <x:c r="F15" s="43" t="n">
        <x:f>IF(MOD(ROW()-8,'Allocation'!$G$17)=0,L14*'Allocation'!$G$10,J14)</x:f>
        <x:v>32340.029117129947</x:v>
      </x:c>
      <x:c r="G15" s="43" t="n">
        <x:f>IF(MOD(ROW()-8,'Allocation'!$G$17)=0,L14*'Allocation'!$G$11,K14)</x:f>
        <x:v>11034.798305360368</x:v>
      </x:c>
      <x:c r="H15" s="43" t="n">
        <x:f>D15*(1+'Monthly'!D16)</x:f>
        <x:v>44980.12267476924</x:v>
      </x:c>
      <x:c r="I15" s="43" t="n">
        <x:f>E15*(1+'Monthly'!E16)</x:f>
        <x:v>21896.151030509536</x:v>
      </x:c>
      <x:c r="J15" s="43" t="n">
        <x:f>F15*(1+'Monthly'!F16)</x:f>
        <x:v>32278.5830618074</x:v>
      </x:c>
      <x:c r="K15" s="43" t="n">
        <x:f>G15*(1+'Monthly'!G16)</x:f>
        <x:v>10968.589515528205</x:v>
      </x:c>
      <x:c r="L15" s="44" t="n">
        <x:f>SUM(H15:K15)</x:f>
        <x:v>110123.44628261439</x:v>
      </x:c>
      <x:c r="M15" s="43" t="n">
        <x:f>IF(MOD(ROW()-8,'Allocation'!$G$17)=0,U14*'Allocation'!$H$8,Q14)</x:f>
        <x:v>66531.5026772482</x:v>
      </x:c>
      <x:c r="N15" s="43" t="n">
        <x:f>IF(MOD(ROW()-8,'Allocation'!$G$17)=0,U14*'Allocation'!$H$9,R14)</x:f>
        <x:v>0</x:v>
      </x:c>
      <x:c r="O15" s="43" t="n">
        <x:f>IF(MOD(ROW()-8,'Allocation'!$G$17)=0,U14*'Allocation'!$H$10,S14)</x:f>
        <x:v>43812.74169335639</x:v>
      </x:c>
      <x:c r="P15" s="43" t="n">
        <x:f>IF(MOD(ROW()-8,'Allocation'!$G$17)=0,U14*'Allocation'!$H$11,T14)</x:f>
        <x:v>0</x:v>
      </x:c>
      <x:c r="Q15" s="43" t="n">
        <x:f>M15*(1+'Monthly'!D16)</x:f>
        <x:v>68554.06035863653</x:v>
      </x:c>
      <x:c r="R15" s="43" t="n">
        <x:f>N15*(1+'Monthly'!E16)</x:f>
        <x:v>0</x:v>
      </x:c>
      <x:c r="S15" s="43" t="n">
        <x:f>O15*(1+'Monthly'!F16)</x:f>
        <x:v>43729.49748413901</x:v>
      </x:c>
      <x:c r="T15" s="43" t="n">
        <x:f>P15*(1+'Monthly'!G16)</x:f>
        <x:v>0</x:v>
      </x:c>
      <x:c r="U15" s="44" t="n">
        <x:f>SUM(Q15:T15)</x:f>
        <x:v>112283.55784277554</x:v>
      </x:c>
      <x:c r="V15" s="21" t="n">
        <x:f>L15/SUM(D15:G15)-1</x:f>
        <x:v>0.014459595195773334</x:v>
      </x:c>
      <x:c r="W15" s="21" t="n">
        <x:f>U15/SUM(M15:P15)-1</x:f>
        <x:v>0.017575121232944024</x:v>
      </x:c>
      <x:c r="X15" s="44" t="n">
        <x:f>H15-D15</x:f>
        <x:v>1327.0533087276635</x:v>
      </x:c>
      <x:c r="Y15" s="44" t="n">
        <x:f>I15-E15</x:f>
        <x:v>370.2455738544704</x:v>
      </x:c>
      <x:c r="Z15" s="44" t="n">
        <x:f>J15-F15</x:f>
        <x:v>-61.44605532254718</x:v>
      </x:c>
      <x:c r="AA15" s="44" t="n">
        <x:f>K15-G15</x:f>
        <x:v>-66.20878983216244</x:v>
      </x:c>
      <x:c r="AB15" s="44" t="n">
        <x:f>(ABS(D15-H14)+ABS(E15-I14)+ABS(F15-J14)+ABS(G15-K14))/2</x:f>
        <x:v>0</x:v>
      </x:c>
    </x:row>
    <x:row r="16" ht="22" customHeight="1">
      <x:c r="A16" s="2"/>
      <x:c r="B16" s="2"/>
      <x:c r="C16" s="42" t="n">
        <x:f>'Monthly'!C17</x:f>
        <x:v>44469</x:v>
      </x:c>
      <x:c r="D16" s="43" t="n">
        <x:f>IF(MOD(ROW()-8,'Allocation'!$G$17)=0,L15*'Allocation'!$G$8,H15)</x:f>
        <x:v>44980.12267476924</x:v>
      </x:c>
      <x:c r="E16" s="43" t="n">
        <x:f>IF(MOD(ROW()-8,'Allocation'!$G$17)=0,L15*'Allocation'!$G$9,I15)</x:f>
        <x:v>21896.151030509536</x:v>
      </x:c>
      <x:c r="F16" s="43" t="n">
        <x:f>IF(MOD(ROW()-8,'Allocation'!$G$17)=0,L15*'Allocation'!$G$10,J15)</x:f>
        <x:v>32278.5830618074</x:v>
      </x:c>
      <x:c r="G16" s="43" t="n">
        <x:f>IF(MOD(ROW()-8,'Allocation'!$G$17)=0,L15*'Allocation'!$G$11,K15)</x:f>
        <x:v>10968.589515528205</x:v>
      </x:c>
      <x:c r="H16" s="43" t="n">
        <x:f>D16*(1+'Monthly'!D17)</x:f>
        <x:v>42888.546970392475</x:v>
      </x:c>
      <x:c r="I16" s="43" t="n">
        <x:f>E16*(1+'Monthly'!E17)</x:f>
        <x:v>21151.68189547221</x:v>
      </x:c>
      <x:c r="J16" s="43" t="n">
        <x:f>F16*(1+'Monthly'!F17)</x:f>
        <x:v>32000.987247475856</x:v>
      </x:c>
      <x:c r="K16" s="43" t="n">
        <x:f>G16*(1+'Monthly'!G17)</x:f>
        <x:v>10530.942793858629</x:v>
      </x:c>
      <x:c r="L16" s="44" t="n">
        <x:f>SUM(H16:K16)</x:f>
        <x:v>106572.15890719918</x:v>
      </x:c>
      <x:c r="M16" s="43" t="n">
        <x:f>IF(MOD(ROW()-8,'Allocation'!$G$17)=0,U15*'Allocation'!$H$8,Q15)</x:f>
        <x:v>68554.06035863653</x:v>
      </x:c>
      <x:c r="N16" s="43" t="n">
        <x:f>IF(MOD(ROW()-8,'Allocation'!$G$17)=0,U15*'Allocation'!$H$9,R15)</x:f>
        <x:v>0</x:v>
      </x:c>
      <x:c r="O16" s="43" t="n">
        <x:f>IF(MOD(ROW()-8,'Allocation'!$G$17)=0,U15*'Allocation'!$H$10,S15)</x:f>
        <x:v>43729.49748413901</x:v>
      </x:c>
      <x:c r="P16" s="43" t="n">
        <x:f>IF(MOD(ROW()-8,'Allocation'!$G$17)=0,U15*'Allocation'!$H$11,T15)</x:f>
        <x:v>0</x:v>
      </x:c>
      <x:c r="Q16" s="43" t="n">
        <x:f>M16*(1+'Monthly'!D17)</x:f>
        <x:v>65366.29655195993</x:v>
      </x:c>
      <x:c r="R16" s="43" t="n">
        <x:f>N16*(1+'Monthly'!E17)</x:f>
        <x:v>0</x:v>
      </x:c>
      <x:c r="S16" s="43" t="n">
        <x:f>O16*(1+'Monthly'!F17)</x:f>
        <x:v>43353.42380577541</x:v>
      </x:c>
      <x:c r="T16" s="43" t="n">
        <x:f>P16*(1+'Monthly'!G17)</x:f>
        <x:v>0</x:v>
      </x:c>
      <x:c r="U16" s="44" t="n">
        <x:f>SUM(Q16:T16)</x:f>
        <x:v>108719.72035773535</x:v>
      </x:c>
      <x:c r="V16" s="21" t="n">
        <x:f>L16/SUM(D16:G16)-1</x:f>
        <x:v>-0.03224824045463848</x:v>
      </x:c>
      <x:c r="W16" s="21" t="n">
        <x:f>U16/SUM(M16:P16)-1</x:f>
        <x:v>-0.03173962023923782</x:v>
      </x:c>
      <x:c r="X16" s="44" t="n">
        <x:f>H16-D16</x:f>
        <x:v>-2091.575704376766</x:v>
      </x:c>
      <x:c r="Y16" s="44" t="n">
        <x:f>I16-E16</x:f>
        <x:v>-744.469135037325</x:v>
      </x:c>
      <x:c r="Z16" s="44" t="n">
        <x:f>J16-F16</x:f>
        <x:v>-277.5958143315438</x:v>
      </x:c>
      <x:c r="AA16" s="44" t="n">
        <x:f>K16-G16</x:f>
        <x:v>-437.64672166957644</x:v>
      </x:c>
      <x:c r="AB16" s="44" t="n">
        <x:f>(ABS(D16-H15)+ABS(E16-I15)+ABS(F16-J15)+ABS(G16-K15))/2</x:f>
        <x:v>0</x:v>
      </x:c>
    </x:row>
    <x:row r="17" ht="22" customHeight="1">
      <x:c r="A17" s="2"/>
      <x:c r="B17" s="2"/>
      <x:c r="C17" s="42" t="n">
        <x:f>'Monthly'!C18</x:f>
        <x:v>44500</x:v>
      </x:c>
      <x:c r="D17" s="43" t="n">
        <x:f>IF(MOD(ROW()-8,'Allocation'!$G$17)=0,L16*'Allocation'!$G$8,H16)</x:f>
        <x:v>42628.86356287968</x:v>
      </x:c>
      <x:c r="E17" s="43" t="n">
        <x:f>IF(MOD(ROW()-8,'Allocation'!$G$17)=0,L16*'Allocation'!$G$9,I16)</x:f>
        <x:v>21314.43178143984</x:v>
      </x:c>
      <x:c r="F17" s="43" t="n">
        <x:f>IF(MOD(ROW()-8,'Allocation'!$G$17)=0,L16*'Allocation'!$G$10,J16)</x:f>
        <x:v>31971.64767215975</x:v>
      </x:c>
      <x:c r="G17" s="43" t="n">
        <x:f>IF(MOD(ROW()-8,'Allocation'!$G$17)=0,L16*'Allocation'!$G$11,K16)</x:f>
        <x:v>10657.21589071992</x:v>
      </x:c>
      <x:c r="H17" s="43" t="n">
        <x:f>D17*(1+'Monthly'!D18)</x:f>
        <x:v>45612.884012281254</x:v>
      </x:c>
      <x:c r="I17" s="43" t="n">
        <x:f>E17*(1+'Monthly'!E18)</x:f>
        <x:v>21941.076075814173</x:v>
      </x:c>
      <x:c r="J17" s="43" t="n">
        <x:f>F17*(1+'Monthly'!F18)</x:f>
        <x:v>31955.66184832367</x:v>
      </x:c>
      <x:c r="K17" s="43" t="n">
        <x:f>G17*(1+'Monthly'!G18)</x:f>
        <x:v>10814.942685902573</x:v>
      </x:c>
      <x:c r="L17" s="44" t="n">
        <x:f>SUM(H17:K17)</x:f>
        <x:v>110324.56462232166</x:v>
      </x:c>
      <x:c r="M17" s="43" t="n">
        <x:f>IF(MOD(ROW()-8,'Allocation'!$G$17)=0,U16*'Allocation'!$H$8,Q16)</x:f>
        <x:v>65231.83221464121</x:v>
      </x:c>
      <x:c r="N17" s="43" t="n">
        <x:f>IF(MOD(ROW()-8,'Allocation'!$G$17)=0,U16*'Allocation'!$H$9,R16)</x:f>
        <x:v>0</x:v>
      </x:c>
      <x:c r="O17" s="43" t="n">
        <x:f>IF(MOD(ROW()-8,'Allocation'!$G$17)=0,U16*'Allocation'!$H$10,S16)</x:f>
        <x:v>43487.88814309414</x:v>
      </x:c>
      <x:c r="P17" s="43" t="n">
        <x:f>IF(MOD(ROW()-8,'Allocation'!$G$17)=0,U16*'Allocation'!$H$11,T16)</x:f>
        <x:v>0</x:v>
      </x:c>
      <x:c r="Q17" s="43" t="n">
        <x:f>M17*(1+'Monthly'!D18)</x:f>
        <x:v>69798.0604696661</x:v>
      </x:c>
      <x:c r="R17" s="43" t="n">
        <x:f>N17*(1+'Monthly'!E18)</x:f>
        <x:v>0</x:v>
      </x:c>
      <x:c r="S17" s="43" t="n">
        <x:f>O17*(1+'Monthly'!F18)</x:f>
        <x:v>43466.144199022594</x:v>
      </x:c>
      <x:c r="T17" s="43" t="n">
        <x:f>P17*(1+'Monthly'!G18)</x:f>
        <x:v>0</x:v>
      </x:c>
      <x:c r="U17" s="44" t="n">
        <x:f>SUM(Q17:T17)</x:f>
        <x:v>113264.2046686887</x:v>
      </x:c>
      <x:c r="V17" s="21" t="n">
        <x:f>L17/SUM(D17:G17)-1</x:f>
        <x:v>0.035209999999999964</x:v>
      </x:c>
      <x:c r="W17" s="21" t="n">
        <x:f>U17/SUM(M17:P17)-1</x:f>
        <x:v>0.04180000000000006</x:v>
      </x:c>
      <x:c r="X17" s="44" t="n">
        <x:f>H17-D17</x:f>
        <x:v>2984.020449401578</x:v>
      </x:c>
      <x:c r="Y17" s="44" t="n">
        <x:f>I17-E17</x:f>
        <x:v>626.644294374335</x:v>
      </x:c>
      <x:c r="Z17" s="44" t="n">
        <x:f>J17-F17</x:f>
        <x:v>-15.985823836079362</x:v>
      </x:c>
      <x:c r="AA17" s="44" t="n">
        <x:f>K17-G17</x:f>
        <x:v>157.7267951826543</x:v>
      </x:c>
      <x:c r="AB17" s="44" t="n">
        <x:f>(ABS(D17-H16)+ABS(E17-I16)+ABS(F17-J16)+ABS(G17-K16))/2</x:f>
        <x:v>289.02298282891115</x:v>
      </x:c>
    </x:row>
    <x:row r="18" ht="22" customHeight="1">
      <x:c r="A18" s="2"/>
      <x:c r="B18" s="2"/>
      <x:c r="C18" s="42" t="n">
        <x:f>'Monthly'!C19</x:f>
        <x:v>44530</x:v>
      </x:c>
      <x:c r="D18" s="43" t="n">
        <x:f>IF(MOD(ROW()-8,'Allocation'!$G$17)=0,L17*'Allocation'!$G$8,H17)</x:f>
        <x:v>45612.884012281254</x:v>
      </x:c>
      <x:c r="E18" s="43" t="n">
        <x:f>IF(MOD(ROW()-8,'Allocation'!$G$17)=0,L17*'Allocation'!$G$9,I17)</x:f>
        <x:v>21941.076075814173</x:v>
      </x:c>
      <x:c r="F18" s="43" t="n">
        <x:f>IF(MOD(ROW()-8,'Allocation'!$G$17)=0,L17*'Allocation'!$G$10,J17)</x:f>
        <x:v>31955.66184832367</x:v>
      </x:c>
      <x:c r="G18" s="43" t="n">
        <x:f>IF(MOD(ROW()-8,'Allocation'!$G$17)=0,L17*'Allocation'!$G$11,K17)</x:f>
        <x:v>10814.942685902573</x:v>
      </x:c>
      <x:c r="H18" s="43" t="n">
        <x:f>D18*(1+'Monthly'!D19)</x:f>
        <x:v>45298.15511259651</x:v>
      </x:c>
      <x:c r="I18" s="43" t="n">
        <x:f>E18*(1+'Monthly'!E19)</x:f>
        <x:v>20916.427823073653</x:v>
      </x:c>
      <x:c r="J18" s="43" t="n">
        <x:f>F18*(1+'Monthly'!F19)</x:f>
        <x:v>32051.528833868637</x:v>
      </x:c>
      <x:c r="K18" s="43" t="n">
        <x:f>G18*(1+'Monthly'!G19)</x:f>
        <x:v>11030.160045352035</x:v>
      </x:c>
      <x:c r="L18" s="44" t="n">
        <x:f>SUM(H18:K18)</x:f>
        <x:v>109296.27181489083</x:v>
      </x:c>
      <x:c r="M18" s="43" t="n">
        <x:f>IF(MOD(ROW()-8,'Allocation'!$G$17)=0,U17*'Allocation'!$H$8,Q17)</x:f>
        <x:v>69798.0604696661</x:v>
      </x:c>
      <x:c r="N18" s="43" t="n">
        <x:f>IF(MOD(ROW()-8,'Allocation'!$G$17)=0,U17*'Allocation'!$H$9,R17)</x:f>
        <x:v>0</x:v>
      </x:c>
      <x:c r="O18" s="43" t="n">
        <x:f>IF(MOD(ROW()-8,'Allocation'!$G$17)=0,U17*'Allocation'!$H$10,S17)</x:f>
        <x:v>43466.144199022594</x:v>
      </x:c>
      <x:c r="P18" s="43" t="n">
        <x:f>IF(MOD(ROW()-8,'Allocation'!$G$17)=0,U17*'Allocation'!$H$11,T17)</x:f>
        <x:v>0</x:v>
      </x:c>
      <x:c r="Q18" s="43" t="n">
        <x:f>M18*(1+'Monthly'!D19)</x:f>
        <x:v>69316.4538524254</x:v>
      </x:c>
      <x:c r="R18" s="43" t="n">
        <x:f>N18*(1+'Monthly'!E19)</x:f>
        <x:v>0</x:v>
      </x:c>
      <x:c r="S18" s="43" t="n">
        <x:f>O18*(1+'Monthly'!F19)</x:f>
        <x:v>43596.54263161965</x:v>
      </x:c>
      <x:c r="T18" s="43" t="n">
        <x:f>P18*(1+'Monthly'!G19)</x:f>
        <x:v>0</x:v>
      </x:c>
      <x:c r="U18" s="44" t="n">
        <x:f>SUM(Q18:T18)</x:f>
        <x:v>112912.99648404506</x:v>
      </x:c>
      <x:c r="V18" s="21" t="n">
        <x:f>L18/SUM(D18:G18)-1</x:f>
        <x:v>-0.009320615140889332</x:v>
      </x:c>
      <x:c r="W18" s="21" t="n">
        <x:f>U18/SUM(M18:P18)-1</x:f>
        <x:v>-0.003100787099251434</x:v>
      </x:c>
      <x:c r="X18" s="44" t="n">
        <x:f>H18-D18</x:f>
        <x:v>-314.7288996847419</x:v>
      </x:c>
      <x:c r="Y18" s="44" t="n">
        <x:f>I18-E18</x:f>
        <x:v>-1024.6482527405205</x:v>
      </x:c>
      <x:c r="Z18" s="44" t="n">
        <x:f>J18-F18</x:f>
        <x:v>95.86698554496616</x:v>
      </x:c>
      <x:c r="AA18" s="44" t="n">
        <x:f>K18-G18</x:f>
        <x:v>215.21735944946158</x:v>
      </x:c>
      <x:c r="AB18" s="44" t="n">
        <x:f>(ABS(D18-H17)+ABS(E18-I17)+ABS(F18-J17)+ABS(G18-K17))/2</x:f>
        <x:v>0</x:v>
      </x:c>
    </x:row>
    <x:row r="19" ht="22" customHeight="1">
      <x:c r="A19" s="2"/>
      <x:c r="B19" s="2"/>
      <x:c r="C19" s="42" t="n">
        <x:f>'Monthly'!C20</x:f>
        <x:v>44561</x:v>
      </x:c>
      <x:c r="D19" s="43" t="n">
        <x:f>IF(MOD(ROW()-8,'Allocation'!$G$17)=0,L18*'Allocation'!$G$8,H18)</x:f>
        <x:v>45298.15511259651</x:v>
      </x:c>
      <x:c r="E19" s="43" t="n">
        <x:f>IF(MOD(ROW()-8,'Allocation'!$G$17)=0,L18*'Allocation'!$G$9,I18)</x:f>
        <x:v>20916.427823073653</x:v>
      </x:c>
      <x:c r="F19" s="43" t="n">
        <x:f>IF(MOD(ROW()-8,'Allocation'!$G$17)=0,L18*'Allocation'!$G$10,J18)</x:f>
        <x:v>32051.528833868637</x:v>
      </x:c>
      <x:c r="G19" s="43" t="n">
        <x:f>IF(MOD(ROW()-8,'Allocation'!$G$17)=0,L18*'Allocation'!$G$11,K18)</x:f>
        <x:v>11030.160045352035</x:v>
      </x:c>
      <x:c r="H19" s="43" t="n">
        <x:f>D19*(1+'Monthly'!D20)</x:f>
        <x:v>47327.512461640836</x:v>
      </x:c>
      <x:c r="I19" s="43" t="n">
        <x:f>E19*(1+'Monthly'!E20)</x:f>
        <x:v>21907.866501887347</x:v>
      </x:c>
      <x:c r="J19" s="43" t="n">
        <x:f>F19*(1+'Monthly'!F20)</x:f>
        <x:v>31945.75878871687</x:v>
      </x:c>
      <x:c r="K19" s="43" t="n">
        <x:f>G19*(1+'Monthly'!G20)</x:f>
        <x:v>11122.813389732992</x:v>
      </x:c>
      <x:c r="L19" s="44" t="n">
        <x:f>SUM(H19:K19)</x:f>
        <x:v>112303.95114197806</x:v>
      </x:c>
      <x:c r="M19" s="43" t="n">
        <x:f>IF(MOD(ROW()-8,'Allocation'!$G$17)=0,U18*'Allocation'!$H$8,Q18)</x:f>
        <x:v>69316.4538524254</x:v>
      </x:c>
      <x:c r="N19" s="43" t="n">
        <x:f>IF(MOD(ROW()-8,'Allocation'!$G$17)=0,U18*'Allocation'!$H$9,R18)</x:f>
        <x:v>0</x:v>
      </x:c>
      <x:c r="O19" s="43" t="n">
        <x:f>IF(MOD(ROW()-8,'Allocation'!$G$17)=0,U18*'Allocation'!$H$10,S18)</x:f>
        <x:v>43596.54263161965</x:v>
      </x:c>
      <x:c r="P19" s="43" t="n">
        <x:f>IF(MOD(ROW()-8,'Allocation'!$G$17)=0,U18*'Allocation'!$H$11,T18)</x:f>
        <x:v>0</x:v>
      </x:c>
      <x:c r="Q19" s="43" t="n">
        <x:f>M19*(1+'Monthly'!D20)</x:f>
        <x:v>72421.83098501405</x:v>
      </x:c>
      <x:c r="R19" s="43" t="n">
        <x:f>N19*(1+'Monthly'!E20)</x:f>
        <x:v>0</x:v>
      </x:c>
      <x:c r="S19" s="43" t="n">
        <x:f>O19*(1+'Monthly'!F20)</x:f>
        <x:v>43452.67404093531</x:v>
      </x:c>
      <x:c r="T19" s="43" t="n">
        <x:f>P19*(1+'Monthly'!G20)</x:f>
        <x:v>0</x:v>
      </x:c>
      <x:c r="U19" s="44" t="n">
        <x:f>SUM(Q19:T19)</x:f>
        <x:v>115874.50502594936</x:v>
      </x:c>
      <x:c r="V19" s="21" t="n">
        <x:f>L19/SUM(D19:G19)-1</x:f>
        <x:v>0.027518590315515734</x:v>
      </x:c>
      <x:c r="W19" s="21" t="n">
        <x:f>U19/SUM(M19:P19)-1</x:f>
        <x:v>0.026228234429353403</x:v>
      </x:c>
      <x:c r="X19" s="44" t="n">
        <x:f>H19-D19</x:f>
        <x:v>2029.3573490443232</x:v>
      </x:c>
      <x:c r="Y19" s="44" t="n">
        <x:f>I19-E19</x:f>
        <x:v>991.4386788136944</x:v>
      </x:c>
      <x:c r="Z19" s="44" t="n">
        <x:f>J19-F19</x:f>
        <x:v>-105.77004515176668</x:v>
      </x:c>
      <x:c r="AA19" s="44" t="n">
        <x:f>K19-G19</x:f>
        <x:v>92.6533443809567</x:v>
      </x:c>
      <x:c r="AB19" s="44" t="n">
        <x:f>(ABS(D19-H18)+ABS(E19-I18)+ABS(F19-J18)+ABS(G19-K18))/2</x:f>
        <x:v>0</x:v>
      </x:c>
    </x:row>
    <x:row r="20" ht="22" customHeight="1">
      <x:c r="A20" s="2"/>
      <x:c r="B20" s="2"/>
      <x:c r="C20" s="42" t="n">
        <x:f>'Monthly'!C21</x:f>
        <x:v>44592</x:v>
      </x:c>
      <x:c r="D20" s="43" t="n">
        <x:f>IF(MOD(ROW()-8,'Allocation'!$G$17)=0,L19*'Allocation'!$G$8,H19)</x:f>
        <x:v>44921.58045679123</x:v>
      </x:c>
      <x:c r="E20" s="43" t="n">
        <x:f>IF(MOD(ROW()-8,'Allocation'!$G$17)=0,L19*'Allocation'!$G$9,I19)</x:f>
        <x:v>22460.790228395614</x:v>
      </x:c>
      <x:c r="F20" s="43" t="n">
        <x:f>IF(MOD(ROW()-8,'Allocation'!$G$17)=0,L19*'Allocation'!$G$10,J19)</x:f>
        <x:v>33691.18534259342</x:v>
      </x:c>
      <x:c r="G20" s="43" t="n">
        <x:f>IF(MOD(ROW()-8,'Allocation'!$G$17)=0,L19*'Allocation'!$G$11,K19)</x:f>
        <x:v>11230.395114197807</x:v>
      </x:c>
      <x:c r="H20" s="43" t="n">
        <x:f>D20*(1+'Monthly'!D21)</x:f>
        <x:v>42594.64258912944</x:v>
      </x:c>
      <x:c r="I20" s="43" t="n">
        <x:f>E20*(1+'Monthly'!E21)</x:f>
        <x:v>21519.683117825836</x:v>
      </x:c>
      <x:c r="J20" s="43" t="n">
        <x:f>F20*(1+'Monthly'!F21)</x:f>
        <x:v>32990.408687467476</x:v>
      </x:c>
      <x:c r="K20" s="43" t="n">
        <x:f>G20*(1+'Monthly'!G21)</x:f>
        <x:v>11074.292622110457</x:v>
      </x:c>
      <x:c r="L20" s="44" t="n">
        <x:f>SUM(H20:K20)</x:f>
        <x:v>108179.02701653322</x:v>
      </x:c>
      <x:c r="M20" s="43" t="n">
        <x:f>IF(MOD(ROW()-8,'Allocation'!$G$17)=0,U19*'Allocation'!$H$8,Q19)</x:f>
        <x:v>69524.70301556961</x:v>
      </x:c>
      <x:c r="N20" s="43" t="n">
        <x:f>IF(MOD(ROW()-8,'Allocation'!$G$17)=0,U19*'Allocation'!$H$9,R19)</x:f>
        <x:v>0</x:v>
      </x:c>
      <x:c r="O20" s="43" t="n">
        <x:f>IF(MOD(ROW()-8,'Allocation'!$G$17)=0,U19*'Allocation'!$H$10,S19)</x:f>
        <x:v>46349.802010379746</x:v>
      </x:c>
      <x:c r="P20" s="43" t="n">
        <x:f>IF(MOD(ROW()-8,'Allocation'!$G$17)=0,U19*'Allocation'!$H$11,T19)</x:f>
        <x:v>0</x:v>
      </x:c>
      <x:c r="Q20" s="43" t="n">
        <x:f>M20*(1+'Monthly'!D21)</x:f>
        <x:v>65923.32339936311</x:v>
      </x:c>
      <x:c r="R20" s="43" t="n">
        <x:f>N20*(1+'Monthly'!E21)</x:f>
        <x:v>0</x:v>
      </x:c>
      <x:c r="S20" s="43" t="n">
        <x:f>O20*(1+'Monthly'!F21)</x:f>
        <x:v>45385.726128563845</x:v>
      </x:c>
      <x:c r="T20" s="43" t="n">
        <x:f>P20*(1+'Monthly'!G21)</x:f>
        <x:v>0</x:v>
      </x:c>
      <x:c r="U20" s="44" t="n">
        <x:f>SUM(Q20:T20)</x:f>
        <x:v>111309.04952792695</x:v>
      </x:c>
      <x:c r="V20" s="21" t="n">
        <x:f>L20/SUM(D20:G20)-1</x:f>
        <x:v>-0.03672999999999993</x:v>
      </x:c>
      <x:c r="W20" s="21" t="n">
        <x:f>U20/SUM(M20:P20)-1</x:f>
        <x:v>-0.03939999999999999</x:v>
      </x:c>
      <x:c r="X20" s="44" t="n">
        <x:f>H20-D20</x:f>
        <x:v>-2326.9378676617853</x:v>
      </x:c>
      <x:c r="Y20" s="44" t="n">
        <x:f>I20-E20</x:f>
        <x:v>-941.1071105697774</x:v>
      </x:c>
      <x:c r="Z20" s="44" t="n">
        <x:f>J20-F20</x:f>
        <x:v>-700.776655125941</x:v>
      </x:c>
      <x:c r="AA20" s="44" t="n">
        <x:f>K20-G20</x:f>
        <x:v>-156.10249208734967</x:v>
      </x:c>
      <x:c r="AB20" s="44" t="n">
        <x:f>(ABS(D20-H19)+ABS(E20-I19)+ABS(F20-J19)+ABS(G20-K19))/2</x:f>
        <x:v>2405.9320048496184</x:v>
      </x:c>
    </x:row>
    <x:row r="21" ht="22" customHeight="1">
      <x:c r="A21" s="2"/>
      <x:c r="B21" s="2"/>
      <x:c r="C21" s="42" t="n">
        <x:f>'Monthly'!C22</x:f>
        <x:v>44620</x:v>
      </x:c>
      <x:c r="D21" s="43" t="n">
        <x:f>IF(MOD(ROW()-8,'Allocation'!$G$17)=0,L20*'Allocation'!$G$8,H20)</x:f>
        <x:v>42594.64258912944</x:v>
      </x:c>
      <x:c r="E21" s="43" t="n">
        <x:f>IF(MOD(ROW()-8,'Allocation'!$G$17)=0,L20*'Allocation'!$G$9,I20)</x:f>
        <x:v>21519.683117825836</x:v>
      </x:c>
      <x:c r="F21" s="43" t="n">
        <x:f>IF(MOD(ROW()-8,'Allocation'!$G$17)=0,L20*'Allocation'!$G$10,J20)</x:f>
        <x:v>32990.408687467476</x:v>
      </x:c>
      <x:c r="G21" s="43" t="n">
        <x:f>IF(MOD(ROW()-8,'Allocation'!$G$17)=0,L20*'Allocation'!$G$11,K20)</x:f>
        <x:v>11074.292622110457</x:v>
      </x:c>
      <x:c r="H21" s="43" t="n">
        <x:f>D21*(1+'Monthly'!D22)</x:f>
        <x:v>41316.80331145556</x:v>
      </x:c>
      <x:c r="I21" s="43" t="n">
        <x:f>E21*(1+'Monthly'!E22)</x:f>
        <x:v>20897.76427572067</x:v>
      </x:c>
      <x:c r="J21" s="43" t="n">
        <x:f>F21*(1+'Monthly'!F22)</x:f>
        <x:v>32620.91611016784</x:v>
      </x:c>
      <x:c r="K21" s="43" t="n">
        <x:f>G21*(1+'Monthly'!G22)</x:f>
        <x:v>11777.51020361447</x:v>
      </x:c>
      <x:c r="L21" s="44" t="n">
        <x:f>SUM(H21:K21)</x:f>
        <x:v>106612.99390095854</x:v>
      </x:c>
      <x:c r="M21" s="43" t="n">
        <x:f>IF(MOD(ROW()-8,'Allocation'!$G$17)=0,U20*'Allocation'!$H$8,Q20)</x:f>
        <x:v>65923.32339936311</x:v>
      </x:c>
      <x:c r="N21" s="43" t="n">
        <x:f>IF(MOD(ROW()-8,'Allocation'!$G$17)=0,U20*'Allocation'!$H$9,R20)</x:f>
        <x:v>0</x:v>
      </x:c>
      <x:c r="O21" s="43" t="n">
        <x:f>IF(MOD(ROW()-8,'Allocation'!$G$17)=0,U20*'Allocation'!$H$10,S20)</x:f>
        <x:v>45385.726128563845</x:v>
      </x:c>
      <x:c r="P21" s="43" t="n">
        <x:f>IF(MOD(ROW()-8,'Allocation'!$G$17)=0,U20*'Allocation'!$H$11,T20)</x:f>
        <x:v>0</x:v>
      </x:c>
      <x:c r="Q21" s="43" t="n">
        <x:f>M21*(1+'Monthly'!D22)</x:f>
        <x:v>63945.623697382216</x:v>
      </x:c>
      <x:c r="R21" s="43" t="n">
        <x:f>N21*(1+'Monthly'!E22)</x:f>
        <x:v>0</x:v>
      </x:c>
      <x:c r="S21" s="43" t="n">
        <x:f>O21*(1+'Monthly'!F22)</x:f>
        <x:v>44877.40599592393</x:v>
      </x:c>
      <x:c r="T21" s="43" t="n">
        <x:f>P21*(1+'Monthly'!G22)</x:f>
        <x:v>0</x:v>
      </x:c>
      <x:c r="U21" s="44" t="n">
        <x:f>SUM(Q21:T21)</x:f>
        <x:v>108823.02969330615</x:v>
      </x:c>
      <x:c r="V21" s="21" t="n">
        <x:f>L21/SUM(D21:G21)-1</x:f>
        <x:v>-0.014476309861202075</x:v>
      </x:c>
      <x:c r="W21" s="21" t="n">
        <x:f>U21/SUM(M21:P21)-1</x:f>
        <x:v>-0.022334391005621512</x:v>
      </x:c>
      <x:c r="X21" s="44" t="n">
        <x:f>H21-D21</x:f>
        <x:v>-1277.8392776738838</x:v>
      </x:c>
      <x:c r="Y21" s="44" t="n">
        <x:f>I21-E21</x:f>
        <x:v>-621.9188421051658</x:v>
      </x:c>
      <x:c r="Z21" s="44" t="n">
        <x:f>J21-F21</x:f>
        <x:v>-369.49257729963574</x:v>
      </x:c>
      <x:c r="AA21" s="44" t="n">
        <x:f>K21-G21</x:f>
        <x:v>703.2175815040137</x:v>
      </x:c>
      <x:c r="AB21" s="44" t="n">
        <x:f>(ABS(D21-H20)+ABS(E21-I20)+ABS(F21-J20)+ABS(G21-K20))/2</x:f>
        <x:v>0</x:v>
      </x:c>
    </x:row>
    <x:row r="22" ht="22" customHeight="1">
      <x:c r="A22" s="2"/>
      <x:c r="B22" s="2"/>
      <x:c r="C22" s="42" t="n">
        <x:f>'Monthly'!C23</x:f>
        <x:v>44651</x:v>
      </x:c>
      <x:c r="D22" s="43" t="n">
        <x:f>IF(MOD(ROW()-8,'Allocation'!$G$17)=0,L21*'Allocation'!$G$8,H21)</x:f>
        <x:v>41316.80331145556</x:v>
      </x:c>
      <x:c r="E22" s="43" t="n">
        <x:f>IF(MOD(ROW()-8,'Allocation'!$G$17)=0,L21*'Allocation'!$G$9,I21)</x:f>
        <x:v>20897.76427572067</x:v>
      </x:c>
      <x:c r="F22" s="43" t="n">
        <x:f>IF(MOD(ROW()-8,'Allocation'!$G$17)=0,L21*'Allocation'!$G$10,J21)</x:f>
        <x:v>32620.91611016784</x:v>
      </x:c>
      <x:c r="G22" s="43" t="n">
        <x:f>IF(MOD(ROW()-8,'Allocation'!$G$17)=0,L21*'Allocation'!$G$11,K21)</x:f>
        <x:v>11777.51020361447</x:v>
      </x:c>
      <x:c r="H22" s="43" t="n">
        <x:f>D22*(1+'Monthly'!D23)</x:f>
        <x:v>42849.65671431056</x:v>
      </x:c>
      <x:c r="I22" s="43" t="n">
        <x:f>E22*(1+'Monthly'!E23)</x:f>
        <x:v>20851.789194314086</x:v>
      </x:c>
      <x:c r="J22" s="43" t="n">
        <x:f>F22*(1+'Monthly'!F23)</x:f>
        <x:v>31717.316733916192</x:v>
      </x:c>
      <x:c r="K22" s="43" t="n">
        <x:f>G22*(1+'Monthly'!G23)</x:f>
        <x:v>11974.194624014832</x:v>
      </x:c>
      <x:c r="L22" s="44" t="n">
        <x:f>SUM(H22:K22)</x:f>
        <x:v>107392.95726655566</x:v>
      </x:c>
      <x:c r="M22" s="43" t="n">
        <x:f>IF(MOD(ROW()-8,'Allocation'!$G$17)=0,U21*'Allocation'!$H$8,Q21)</x:f>
        <x:v>63945.623697382216</x:v>
      </x:c>
      <x:c r="N22" s="43" t="n">
        <x:f>IF(MOD(ROW()-8,'Allocation'!$G$17)=0,U21*'Allocation'!$H$9,R21)</x:f>
        <x:v>0</x:v>
      </x:c>
      <x:c r="O22" s="43" t="n">
        <x:f>IF(MOD(ROW()-8,'Allocation'!$G$17)=0,U21*'Allocation'!$H$10,S21)</x:f>
        <x:v>44877.40599592393</x:v>
      </x:c>
      <x:c r="P22" s="43" t="n">
        <x:f>IF(MOD(ROW()-8,'Allocation'!$G$17)=0,U21*'Allocation'!$H$11,T21)</x:f>
        <x:v>0</x:v>
      </x:c>
      <x:c r="Q22" s="43" t="n">
        <x:f>M22*(1+'Monthly'!D23)</x:f>
        <x:v>66318.00633655509</x:v>
      </x:c>
      <x:c r="R22" s="43" t="n">
        <x:f>N22*(1+'Monthly'!E23)</x:f>
        <x:v>0</x:v>
      </x:c>
      <x:c r="S22" s="43" t="n">
        <x:f>O22*(1+'Monthly'!F23)</x:f>
        <x:v>43634.30184983684</x:v>
      </x:c>
      <x:c r="T22" s="43" t="n">
        <x:f>P22*(1+'Monthly'!G23)</x:f>
        <x:v>0</x:v>
      </x:c>
      <x:c r="U22" s="44" t="n">
        <x:f>SUM(Q22:T22)</x:f>
        <x:v>109952.30818639192</x:v>
      </x:c>
      <x:c r="V22" s="21" t="n">
        <x:f>L22/SUM(D22:G22)-1</x:f>
        <x:v>0.007315837751650678</x:v>
      </x:c>
      <x:c r="W22" s="21" t="n">
        <x:f>U22/SUM(M22:P22)-1</x:f>
        <x:v>0.010377201372433698</x:v>
      </x:c>
      <x:c r="X22" s="44" t="n">
        <x:f>H22-D22</x:f>
        <x:v>1532.8534028549984</x:v>
      </x:c>
      <x:c r="Y22" s="44" t="n">
        <x:f>I22-E22</x:f>
        <x:v>-45.97508140658465</x:v>
      </x:c>
      <x:c r="Z22" s="44" t="n">
        <x:f>J22-F22</x:f>
        <x:v>-903.5993762516482</x:v>
      </x:c>
      <x:c r="AA22" s="44" t="n">
        <x:f>K22-G22</x:f>
        <x:v>196.68442040036098</x:v>
      </x:c>
      <x:c r="AB22" s="44" t="n">
        <x:f>(ABS(D22-H21)+ABS(E22-I21)+ABS(F22-J21)+ABS(G22-K21))/2</x:f>
        <x:v>0</x:v>
      </x:c>
    </x:row>
    <x:row r="23" ht="22" customHeight="1">
      <x:c r="A23" s="2"/>
      <x:c r="B23" s="2"/>
      <x:c r="C23" s="42" t="n">
        <x:f>'Monthly'!C24</x:f>
        <x:v>44681</x:v>
      </x:c>
      <x:c r="D23" s="43" t="n">
        <x:f>IF(MOD(ROW()-8,'Allocation'!$G$17)=0,L22*'Allocation'!$G$8,H22)</x:f>
        <x:v>42957.18290662227</x:v>
      </x:c>
      <x:c r="E23" s="43" t="n">
        <x:f>IF(MOD(ROW()-8,'Allocation'!$G$17)=0,L22*'Allocation'!$G$9,I22)</x:f>
        <x:v>21478.591453311135</x:v>
      </x:c>
      <x:c r="F23" s="43" t="n">
        <x:f>IF(MOD(ROW()-8,'Allocation'!$G$17)=0,L22*'Allocation'!$G$10,J22)</x:f>
        <x:v>32217.887179966696</x:v>
      </x:c>
      <x:c r="G23" s="43" t="n">
        <x:f>IF(MOD(ROW()-8,'Allocation'!$G$17)=0,L22*'Allocation'!$G$11,K22)</x:f>
        <x:v>10739.295726655568</x:v>
      </x:c>
      <x:c r="H23" s="43" t="n">
        <x:f>D23*(1+'Monthly'!D24)</x:f>
        <x:v>39211.31655716481</x:v>
      </x:c>
      <x:c r="I23" s="43" t="n">
        <x:f>E23*(1+'Monthly'!E24)</x:f>
        <x:v>20088.926586281905</x:v>
      </x:c>
      <x:c r="J23" s="43" t="n">
        <x:f>F23*(1+'Monthly'!F24)</x:f>
        <x:v>31000.051044563952</x:v>
      </x:c>
      <x:c r="K23" s="43" t="n">
        <x:f>G23*(1+'Monthly'!G24)</x:f>
        <x:v>10566.393065456414</x:v>
      </x:c>
      <x:c r="L23" s="44" t="n">
        <x:f>SUM(H23:K23)</x:f>
        <x:v>100866.68725346708</x:v>
      </x:c>
      <x:c r="M23" s="43" t="n">
        <x:f>IF(MOD(ROW()-8,'Allocation'!$G$17)=0,U22*'Allocation'!$H$8,Q22)</x:f>
        <x:v>65971.38491183515</x:v>
      </x:c>
      <x:c r="N23" s="43" t="n">
        <x:f>IF(MOD(ROW()-8,'Allocation'!$G$17)=0,U22*'Allocation'!$H$9,R22)</x:f>
        <x:v>0</x:v>
      </x:c>
      <x:c r="O23" s="43" t="n">
        <x:f>IF(MOD(ROW()-8,'Allocation'!$G$17)=0,U22*'Allocation'!$H$10,S22)</x:f>
        <x:v>43980.92327455677</x:v>
      </x:c>
      <x:c r="P23" s="43" t="n">
        <x:f>IF(MOD(ROW()-8,'Allocation'!$G$17)=0,U22*'Allocation'!$H$11,T22)</x:f>
        <x:v>0</x:v>
      </x:c>
      <x:c r="Q23" s="43" t="n">
        <x:f>M23*(1+'Monthly'!D24)</x:f>
        <x:v>60218.680147523126</x:v>
      </x:c>
      <x:c r="R23" s="43" t="n">
        <x:f>N23*(1+'Monthly'!E24)</x:f>
        <x:v>0</x:v>
      </x:c>
      <x:c r="S23" s="43" t="n">
        <x:f>O23*(1+'Monthly'!F24)</x:f>
        <x:v>42318.444374778526</x:v>
      </x:c>
      <x:c r="T23" s="43" t="n">
        <x:f>P23*(1+'Monthly'!G24)</x:f>
        <x:v>0</x:v>
      </x:c>
      <x:c r="U23" s="44" t="n">
        <x:f>SUM(Q23:T23)</x:f>
        <x:v>102537.12452230166</x:v>
      </x:c>
      <x:c r="V23" s="21" t="n">
        <x:f>L23/SUM(D23:G23)-1</x:f>
        <x:v>-0.06076999999999988</x:v>
      </x:c>
      <x:c r="W23" s="21" t="n">
        <x:f>U23/SUM(M23:P23)-1</x:f>
        <x:v>-0.06743999999999994</x:v>
      </x:c>
      <x:c r="X23" s="44" t="n">
        <x:f>H23-D23</x:f>
        <x:v>-3745.8663494574575</x:v>
      </x:c>
      <x:c r="Y23" s="44" t="n">
        <x:f>I23-E23</x:f>
        <x:v>-1389.6648670292307</x:v>
      </x:c>
      <x:c r="Z23" s="44" t="n">
        <x:f>J23-F23</x:f>
        <x:v>-1217.8361354027438</x:v>
      </x:c>
      <x:c r="AA23" s="44" t="n">
        <x:f>K23-G23</x:f>
        <x:v>-172.90266119915395</x:v>
      </x:c>
      <x:c r="AB23" s="44" t="n">
        <x:f>(ABS(D23-H22)+ABS(E23-I22)+ABS(F23-J22)+ABS(G23-K22))/2</x:f>
        <x:v>1234.898897359266</x:v>
      </x:c>
    </x:row>
    <x:row r="24" ht="22" customHeight="1">
      <x:c r="A24" s="2"/>
      <x:c r="B24" s="2"/>
      <x:c r="C24" s="42" t="n">
        <x:f>'Monthly'!C25</x:f>
        <x:v>44712</x:v>
      </x:c>
      <x:c r="D24" s="43" t="n">
        <x:f>IF(MOD(ROW()-8,'Allocation'!$G$17)=0,L23*'Allocation'!$G$8,H23)</x:f>
        <x:v>39211.31655716481</x:v>
      </x:c>
      <x:c r="E24" s="43" t="n">
        <x:f>IF(MOD(ROW()-8,'Allocation'!$G$17)=0,L23*'Allocation'!$G$9,I23)</x:f>
        <x:v>20088.926586281905</x:v>
      </x:c>
      <x:c r="F24" s="43" t="n">
        <x:f>IF(MOD(ROW()-8,'Allocation'!$G$17)=0,L23*'Allocation'!$G$10,J23)</x:f>
        <x:v>31000.051044563952</x:v>
      </x:c>
      <x:c r="G24" s="43" t="n">
        <x:f>IF(MOD(ROW()-8,'Allocation'!$G$17)=0,L23*'Allocation'!$G$11,K23)</x:f>
        <x:v>10566.393065456414</x:v>
      </x:c>
      <x:c r="H24" s="43" t="n">
        <x:f>D24*(1+'Monthly'!D25)</x:f>
        <x:v>39281.89692696771</x:v>
      </x:c>
      <x:c r="I24" s="43" t="n">
        <x:f>E24*(1+'Monthly'!E25)</x:f>
        <x:v>20434.456123565957</x:v>
      </x:c>
      <x:c r="J24" s="43" t="n">
        <x:f>F24*(1+'Monthly'!F25)</x:f>
        <x:v>31201.551376353615</x:v>
      </x:c>
      <x:c r="K24" s="43" t="n">
        <x:f>G24*(1+'Monthly'!G25)</x:f>
        <x:v>10162.756850355978</x:v>
      </x:c>
      <x:c r="L24" s="44" t="n">
        <x:f>SUM(H24:K24)</x:f>
        <x:v>101080.66127724326</x:v>
      </x:c>
      <x:c r="M24" s="43" t="n">
        <x:f>IF(MOD(ROW()-8,'Allocation'!$G$17)=0,U23*'Allocation'!$H$8,Q23)</x:f>
        <x:v>60218.680147523126</x:v>
      </x:c>
      <x:c r="N24" s="43" t="n">
        <x:f>IF(MOD(ROW()-8,'Allocation'!$G$17)=0,U23*'Allocation'!$H$9,R23)</x:f>
        <x:v>0</x:v>
      </x:c>
      <x:c r="O24" s="43" t="n">
        <x:f>IF(MOD(ROW()-8,'Allocation'!$G$17)=0,U23*'Allocation'!$H$10,S23)</x:f>
        <x:v>42318.444374778526</x:v>
      </x:c>
      <x:c r="P24" s="43" t="n">
        <x:f>IF(MOD(ROW()-8,'Allocation'!$G$17)=0,U23*'Allocation'!$H$11,T23)</x:f>
        <x:v>0</x:v>
      </x:c>
      <x:c r="Q24" s="43" t="n">
        <x:f>M24*(1+'Monthly'!D25)</x:f>
        <x:v>60327.073771788666</x:v>
      </x:c>
      <x:c r="R24" s="43" t="n">
        <x:f>N24*(1+'Monthly'!E25)</x:f>
        <x:v>0</x:v>
      </x:c>
      <x:c r="S24" s="43" t="n">
        <x:f>O24*(1+'Monthly'!F25)</x:f>
        <x:v>42593.51426321459</x:v>
      </x:c>
      <x:c r="T24" s="43" t="n">
        <x:f>P24*(1+'Monthly'!G25)</x:f>
        <x:v>0</x:v>
      </x:c>
      <x:c r="U24" s="44" t="n">
        <x:f>SUM(Q24:T24)</x:f>
        <x:v>102920.58803500325</x:v>
      </x:c>
      <x:c r="V24" s="21" t="n">
        <x:f>L24/SUM(D24:G24)-1</x:f>
        <x:v>0.00212135472674424</x:v>
      </x:c>
      <x:c r="W24" s="21" t="n">
        <x:f>U24/SUM(M24:P24)-1</x:f>
        <x:v>0.003739752938148655</x:v>
      </x:c>
      <x:c r="X24" s="44" t="n">
        <x:f>H24-D24</x:f>
        <x:v>70.58036980289762</x:v>
      </x:c>
      <x:c r="Y24" s="44" t="n">
        <x:f>I24-E24</x:f>
        <x:v>345.5295372840519</x:v>
      </x:c>
      <x:c r="Z24" s="44" t="n">
        <x:f>J24-F24</x:f>
        <x:v>201.5003317896626</x:v>
      </x:c>
      <x:c r="AA24" s="44" t="n">
        <x:f>K24-G24</x:f>
        <x:v>-403.63621510043595</x:v>
      </x:c>
      <x:c r="AB24" s="44" t="n">
        <x:f>(ABS(D24-H23)+ABS(E24-I23)+ABS(F24-J23)+ABS(G24-K23))/2</x:f>
        <x:v>0</x:v>
      </x:c>
    </x:row>
    <x:row r="25" ht="22" customHeight="1">
      <x:c r="A25" s="2"/>
      <x:c r="B25" s="2"/>
      <x:c r="C25" s="42" t="n">
        <x:f>'Monthly'!C26</x:f>
        <x:v>44742</x:v>
      </x:c>
      <x:c r="D25" s="43" t="n">
        <x:f>IF(MOD(ROW()-8,'Allocation'!$G$17)=0,L24*'Allocation'!$G$8,H24)</x:f>
        <x:v>39281.89692696771</x:v>
      </x:c>
      <x:c r="E25" s="43" t="n">
        <x:f>IF(MOD(ROW()-8,'Allocation'!$G$17)=0,L24*'Allocation'!$G$9,I24)</x:f>
        <x:v>20434.456123565957</x:v>
      </x:c>
      <x:c r="F25" s="43" t="n">
        <x:f>IF(MOD(ROW()-8,'Allocation'!$G$17)=0,L24*'Allocation'!$G$10,J24)</x:f>
        <x:v>31201.551376353615</x:v>
      </x:c>
      <x:c r="G25" s="43" t="n">
        <x:f>IF(MOD(ROW()-8,'Allocation'!$G$17)=0,L24*'Allocation'!$G$11,K24)</x:f>
        <x:v>10162.756850355978</x:v>
      </x:c>
      <x:c r="H25" s="43" t="n">
        <x:f>D25*(1+'Monthly'!D26)</x:f>
        <x:v>36037.212240800174</x:v>
      </x:c>
      <x:c r="I25" s="43" t="n">
        <x:f>E25*(1+'Monthly'!E26)</x:f>
        <x:v>18562.659942647315</x:v>
      </x:c>
      <x:c r="J25" s="43" t="n">
        <x:f>F25*(1+'Monthly'!F26)</x:f>
        <x:v>30714.8071748825</x:v>
      </x:c>
      <x:c r="K25" s="43" t="n">
        <x:f>G25*(1+'Monthly'!G26)</x:f>
        <x:v>10040.803768151705</x:v>
      </x:c>
      <x:c r="L25" s="44" t="n">
        <x:f>SUM(H25:K25)</x:f>
        <x:v>95355.48312648169</x:v>
      </x:c>
      <x:c r="M25" s="43" t="n">
        <x:f>IF(MOD(ROW()-8,'Allocation'!$G$17)=0,U24*'Allocation'!$H$8,Q24)</x:f>
        <x:v>60327.073771788666</x:v>
      </x:c>
      <x:c r="N25" s="43" t="n">
        <x:f>IF(MOD(ROW()-8,'Allocation'!$G$17)=0,U24*'Allocation'!$H$9,R24)</x:f>
        <x:v>0</x:v>
      </x:c>
      <x:c r="O25" s="43" t="n">
        <x:f>IF(MOD(ROW()-8,'Allocation'!$G$17)=0,U24*'Allocation'!$H$10,S24)</x:f>
        <x:v>42593.51426321459</x:v>
      </x:c>
      <x:c r="P25" s="43" t="n">
        <x:f>IF(MOD(ROW()-8,'Allocation'!$G$17)=0,U24*'Allocation'!$H$11,T24)</x:f>
        <x:v>0</x:v>
      </x:c>
      <x:c r="Q25" s="43" t="n">
        <x:f>M25*(1+'Monthly'!D26)</x:f>
        <x:v>55344.05747823892</x:v>
      </x:c>
      <x:c r="R25" s="43" t="n">
        <x:f>N25*(1+'Monthly'!E26)</x:f>
        <x:v>0</x:v>
      </x:c>
      <x:c r="S25" s="43" t="n">
        <x:f>O25*(1+'Monthly'!F26)</x:f>
        <x:v>41929.05544070844</x:v>
      </x:c>
      <x:c r="T25" s="43" t="n">
        <x:f>P25*(1+'Monthly'!G26)</x:f>
        <x:v>0</x:v>
      </x:c>
      <x:c r="U25" s="44" t="n">
        <x:f>SUM(Q25:T25)</x:f>
        <x:v>97273.11291894736</x:v>
      </x:c>
      <x:c r="V25" s="21" t="n">
        <x:f>L25/SUM(D25:G25)-1</x:f>
        <x:v>-0.0566396982213897</x:v>
      </x:c>
      <x:c r="W25" s="21" t="n">
        <x:f>U25/SUM(M25:P25)-1</x:f>
        <x:v>-0.054872161380725815</x:v>
      </x:c>
      <x:c r="X25" s="44" t="n">
        <x:f>H25-D25</x:f>
        <x:v>-3244.6846861675367</x:v>
      </x:c>
      <x:c r="Y25" s="44" t="n">
        <x:f>I25-E25</x:f>
        <x:v>-1871.7961809186418</x:v>
      </x:c>
      <x:c r="Z25" s="44" t="n">
        <x:f>J25-F25</x:f>
        <x:v>-486.74420147111596</x:v>
      </x:c>
      <x:c r="AA25" s="44" t="n">
        <x:f>K25-G25</x:f>
        <x:v>-121.9530822042725</x:v>
      </x:c>
      <x:c r="AB25" s="44" t="n">
        <x:f>(ABS(D25-H24)+ABS(E25-I24)+ABS(F25-J24)+ABS(G25-K24))/2</x:f>
        <x:v>0</x:v>
      </x:c>
    </x:row>
    <x:row r="26" ht="22" customHeight="1">
      <x:c r="A26" s="2"/>
      <x:c r="B26" s="2"/>
      <x:c r="C26" s="42" t="n">
        <x:f>'Monthly'!C27</x:f>
        <x:v>44773</x:v>
      </x:c>
      <x:c r="D26" s="43" t="n">
        <x:f>IF(MOD(ROW()-8,'Allocation'!$G$17)=0,L25*'Allocation'!$G$8,H25)</x:f>
        <x:v>38142.193250592674</x:v>
      </x:c>
      <x:c r="E26" s="43" t="n">
        <x:f>IF(MOD(ROW()-8,'Allocation'!$G$17)=0,L25*'Allocation'!$G$9,I25)</x:f>
        <x:v>19071.096625296337</x:v>
      </x:c>
      <x:c r="F26" s="43" t="n">
        <x:f>IF(MOD(ROW()-8,'Allocation'!$G$17)=0,L25*'Allocation'!$G$10,J25)</x:f>
        <x:v>28606.644937944508</x:v>
      </x:c>
      <x:c r="G26" s="43" t="n">
        <x:f>IF(MOD(ROW()-8,'Allocation'!$G$17)=0,L25*'Allocation'!$G$11,K25)</x:f>
        <x:v>9535.548312648169</x:v>
      </x:c>
      <x:c r="H26" s="43" t="n">
        <x:f>D26*(1+'Monthly'!D27)</x:f>
        <x:v>41658.90346829732</x:v>
      </x:c>
      <x:c r="I26" s="43" t="n">
        <x:f>E26*(1+'Monthly'!E27)</x:f>
        <x:v>20102.84295272487</x:v>
      </x:c>
      <x:c r="J26" s="43" t="n">
        <x:f>F26*(1+'Monthly'!F27)</x:f>
        <x:v>29298.925745442764</x:v>
      </x:c>
      <x:c r="K26" s="43" t="n">
        <x:f>G26*(1+'Monthly'!G27)</x:f>
        <x:v>9199.897012042953</x:v>
      </x:c>
      <x:c r="L26" s="44" t="n">
        <x:f>SUM(H26:K26)</x:f>
        <x:v>100260.56917850793</x:v>
      </x:c>
      <x:c r="M26" s="43" t="n">
        <x:f>IF(MOD(ROW()-8,'Allocation'!$G$17)=0,U25*'Allocation'!$H$8,Q25)</x:f>
        <x:v>58363.867751368416</x:v>
      </x:c>
      <x:c r="N26" s="43" t="n">
        <x:f>IF(MOD(ROW()-8,'Allocation'!$G$17)=0,U25*'Allocation'!$H$9,R25)</x:f>
        <x:v>0</x:v>
      </x:c>
      <x:c r="O26" s="43" t="n">
        <x:f>IF(MOD(ROW()-8,'Allocation'!$G$17)=0,U25*'Allocation'!$H$10,S25)</x:f>
        <x:v>38909.24516757894</x:v>
      </x:c>
      <x:c r="P26" s="43" t="n">
        <x:f>IF(MOD(ROW()-8,'Allocation'!$G$17)=0,U25*'Allocation'!$H$11,T25)</x:f>
        <x:v>0</x:v>
      </x:c>
      <x:c r="Q26" s="43" t="n">
        <x:f>M26*(1+'Monthly'!D27)</x:f>
        <x:v>63745.01635804459</x:v>
      </x:c>
      <x:c r="R26" s="43" t="n">
        <x:f>N26*(1+'Monthly'!E27)</x:f>
        <x:v>0</x:v>
      </x:c>
      <x:c r="S26" s="43" t="n">
        <x:f>O26*(1+'Monthly'!F27)</x:f>
        <x:v>39850.84890063435</x:v>
      </x:c>
      <x:c r="T26" s="43" t="n">
        <x:f>P26*(1+'Monthly'!G27)</x:f>
        <x:v>0</x:v>
      </x:c>
      <x:c r="U26" s="44" t="n">
        <x:f>SUM(Q26:T26)</x:f>
        <x:v>103595.86525867894</x:v>
      </x:c>
      <x:c r="V26" s="21" t="n">
        <x:f>L26/SUM(D26:G26)-1</x:f>
        <x:v>0.05144000000000015</x:v>
      </x:c>
      <x:c r="W26" s="21" t="n">
        <x:f>U26/SUM(M26:P26)-1</x:f>
        <x:v>0.06499999999999995</x:v>
      </x:c>
      <x:c r="X26" s="44" t="n">
        <x:f>H26-D26</x:f>
        <x:v>3516.710217704647</x:v>
      </x:c>
      <x:c r="Y26" s="44" t="n">
        <x:f>I26-E26</x:f>
        <x:v>1031.7463274285328</x:v>
      </x:c>
      <x:c r="Z26" s="44" t="n">
        <x:f>J26-F26</x:f>
        <x:v>692.2808074982568</x:v>
      </x:c>
      <x:c r="AA26" s="44" t="n">
        <x:f>K26-G26</x:f>
        <x:v>-335.6513006052155</x:v>
      </x:c>
      <x:c r="AB26" s="44" t="n">
        <x:f>(ABS(D26-H25)+ABS(E26-I25)+ABS(F26-J25)+ABS(G26-K25))/2</x:f>
        <x:v>2613.417692441525</x:v>
      </x:c>
    </x:row>
    <x:row r="27" ht="22" customHeight="1">
      <x:c r="A27" s="2"/>
      <x:c r="B27" s="2"/>
      <x:c r="C27" s="42" t="n">
        <x:f>'Monthly'!C28</x:f>
        <x:v>44804</x:v>
      </x:c>
      <x:c r="D27" s="43" t="n">
        <x:f>IF(MOD(ROW()-8,'Allocation'!$G$17)=0,L26*'Allocation'!$G$8,H26)</x:f>
        <x:v>41658.90346829732</x:v>
      </x:c>
      <x:c r="E27" s="43" t="n">
        <x:f>IF(MOD(ROW()-8,'Allocation'!$G$17)=0,L26*'Allocation'!$G$9,I26)</x:f>
        <x:v>20102.84295272487</x:v>
      </x:c>
      <x:c r="F27" s="43" t="n">
        <x:f>IF(MOD(ROW()-8,'Allocation'!$G$17)=0,L26*'Allocation'!$G$10,J26)</x:f>
        <x:v>29298.925745442764</x:v>
      </x:c>
      <x:c r="G27" s="43" t="n">
        <x:f>IF(MOD(ROW()-8,'Allocation'!$G$17)=0,L26*'Allocation'!$G$11,K26)</x:f>
        <x:v>9199.897012042953</x:v>
      </x:c>
      <x:c r="H27" s="43" t="n">
        <x:f>D27*(1+'Monthly'!D28)</x:f>
        <x:v>39958.796119153485</x:v>
      </x:c>
      <x:c r="I27" s="43" t="n">
        <x:f>E27*(1+'Monthly'!E28)</x:f>
        <x:v>18928.836924285737</x:v>
      </x:c>
      <x:c r="J27" s="43" t="n">
        <x:f>F27*(1+'Monthly'!F28)</x:f>
        <x:v>28481.48571714491</x:v>
      </x:c>
      <x:c r="K27" s="43" t="n">
        <x:f>G27*(1+'Monthly'!G28)</x:f>
        <x:v>9001.179236582826</x:v>
      </x:c>
      <x:c r="L27" s="44" t="n">
        <x:f>SUM(H27:K27)</x:f>
        <x:v>96370.29799716696</x:v>
      </x:c>
      <x:c r="M27" s="43" t="n">
        <x:f>IF(MOD(ROW()-8,'Allocation'!$G$17)=0,U26*'Allocation'!$H$8,Q26)</x:f>
        <x:v>63745.01635804459</x:v>
      </x:c>
      <x:c r="N27" s="43" t="n">
        <x:f>IF(MOD(ROW()-8,'Allocation'!$G$17)=0,U26*'Allocation'!$H$9,R26)</x:f>
        <x:v>0</x:v>
      </x:c>
      <x:c r="O27" s="43" t="n">
        <x:f>IF(MOD(ROW()-8,'Allocation'!$G$17)=0,U26*'Allocation'!$H$10,S26)</x:f>
        <x:v>39850.84890063435</x:v>
      </x:c>
      <x:c r="P27" s="43" t="n">
        <x:f>IF(MOD(ROW()-8,'Allocation'!$G$17)=0,U26*'Allocation'!$H$11,T26)</x:f>
        <x:v>0</x:v>
      </x:c>
      <x:c r="Q27" s="43" t="n">
        <x:f>M27*(1+'Monthly'!D28)</x:f>
        <x:v>61143.57076636984</x:v>
      </x:c>
      <x:c r="R27" s="43" t="n">
        <x:f>N27*(1+'Monthly'!E28)</x:f>
        <x:v>0</x:v>
      </x:c>
      <x:c r="S27" s="43" t="n">
        <x:f>O27*(1+'Monthly'!F28)</x:f>
        <x:v>38739.010216306655</x:v>
      </x:c>
      <x:c r="T27" s="43" t="n">
        <x:f>P27*(1+'Monthly'!G28)</x:f>
        <x:v>0</x:v>
      </x:c>
      <x:c r="U27" s="44" t="n">
        <x:f>SUM(Q27:T27)</x:f>
        <x:v>99882.5809826765</x:v>
      </x:c>
      <x:c r="V27" s="21" t="n">
        <x:f>L27/SUM(D27:G27)-1</x:f>
        <x:v>-0.038801606785361153</x:v>
      </x:c>
      <x:c r="W27" s="21" t="n">
        <x:f>U27/SUM(M27:P27)-1</x:f>
        <x:v>-0.0358439428709858</x:v>
      </x:c>
      <x:c r="X27" s="44" t="n">
        <x:f>H27-D27</x:f>
        <x:v>-1700.1073491438365</x:v>
      </x:c>
      <x:c r="Y27" s="44" t="n">
        <x:f>I27-E27</x:f>
        <x:v>-1174.006028439133</x:v>
      </x:c>
      <x:c r="Z27" s="44" t="n">
        <x:f>J27-F27</x:f>
        <x:v>-817.4400282978531</x:v>
      </x:c>
      <x:c r="AA27" s="44" t="n">
        <x:f>K27-G27</x:f>
        <x:v>-198.7177754601271</x:v>
      </x:c>
      <x:c r="AB27" s="44" t="n">
        <x:f>(ABS(D27-H26)+ABS(E27-I26)+ABS(F27-J26)+ABS(G27-K26))/2</x:f>
        <x:v>0</x:v>
      </x:c>
    </x:row>
    <x:row r="28" ht="22" customHeight="1">
      <x:c r="A28" s="2"/>
      <x:c r="B28" s="2"/>
      <x:c r="C28" s="42" t="n">
        <x:f>'Monthly'!C29</x:f>
        <x:v>44834</x:v>
      </x:c>
      <x:c r="D28" s="43" t="n">
        <x:f>IF(MOD(ROW()-8,'Allocation'!$G$17)=0,L27*'Allocation'!$G$8,H27)</x:f>
        <x:v>39958.796119153485</x:v>
      </x:c>
      <x:c r="E28" s="43" t="n">
        <x:f>IF(MOD(ROW()-8,'Allocation'!$G$17)=0,L27*'Allocation'!$G$9,I27)</x:f>
        <x:v>18928.836924285737</x:v>
      </x:c>
      <x:c r="F28" s="43" t="n">
        <x:f>IF(MOD(ROW()-8,'Allocation'!$G$17)=0,L27*'Allocation'!$G$10,J27)</x:f>
        <x:v>28481.48571714491</x:v>
      </x:c>
      <x:c r="G28" s="43" t="n">
        <x:f>IF(MOD(ROW()-8,'Allocation'!$G$17)=0,L27*'Allocation'!$G$11,K27)</x:f>
        <x:v>9001.179236582826</x:v>
      </x:c>
      <x:c r="H28" s="43" t="n">
        <x:f>D28*(1+'Monthly'!D29)</x:f>
        <x:v>36277.2735550714</x:v>
      </x:c>
      <x:c r="I28" s="43" t="n">
        <x:f>E28*(1+'Monthly'!E29)</x:f>
        <x:v>17102.204161092162</x:v>
      </x:c>
      <x:c r="J28" s="43" t="n">
        <x:f>F28*(1+'Monthly'!F29)</x:f>
        <x:v>27253.933682735966</x:v>
      </x:c>
      <x:c r="K28" s="43" t="n">
        <x:f>G28*(1+'Monthly'!G29)</x:f>
        <x:v>8767.778658978234</x:v>
      </x:c>
      <x:c r="L28" s="44" t="n">
        <x:f>SUM(H28:K28)</x:f>
        <x:v>89401.19005787776</x:v>
      </x:c>
      <x:c r="M28" s="43" t="n">
        <x:f>IF(MOD(ROW()-8,'Allocation'!$G$17)=0,U27*'Allocation'!$H$8,Q27)</x:f>
        <x:v>61143.57076636984</x:v>
      </x:c>
      <x:c r="N28" s="43" t="n">
        <x:f>IF(MOD(ROW()-8,'Allocation'!$G$17)=0,U27*'Allocation'!$H$9,R27)</x:f>
        <x:v>0</x:v>
      </x:c>
      <x:c r="O28" s="43" t="n">
        <x:f>IF(MOD(ROW()-8,'Allocation'!$G$17)=0,U27*'Allocation'!$H$10,S27)</x:f>
        <x:v>38739.010216306655</x:v>
      </x:c>
      <x:c r="P28" s="43" t="n">
        <x:f>IF(MOD(ROW()-8,'Allocation'!$G$17)=0,U27*'Allocation'!$H$11,T27)</x:f>
        <x:v>0</x:v>
      </x:c>
      <x:c r="Q28" s="43" t="n">
        <x:f>M28*(1+'Monthly'!D29)</x:f>
        <x:v>55510.23199525901</x:v>
      </x:c>
      <x:c r="R28" s="43" t="n">
        <x:f>N28*(1+'Monthly'!E29)</x:f>
        <x:v>0</x:v>
      </x:c>
      <x:c r="S28" s="43" t="n">
        <x:f>O28*(1+'Monthly'!F29)</x:f>
        <x:v>37069.35887598384</x:v>
      </x:c>
      <x:c r="T28" s="43" t="n">
        <x:f>P28*(1+'Monthly'!G29)</x:f>
        <x:v>0</x:v>
      </x:c>
      <x:c r="U28" s="44" t="n">
        <x:f>SUM(Q28:T28)</x:f>
        <x:v>92579.59087124285</x:v>
      </x:c>
      <x:c r="V28" s="21" t="n">
        <x:f>L28/SUM(D28:G28)-1</x:f>
        <x:v>-0.07231593223354016</x:v>
      </x:c>
      <x:c r="W28" s="21" t="n">
        <x:f>U28/SUM(M28:P28)-1</x:f>
        <x:v>-0.07311575291291561</x:v>
      </x:c>
      <x:c r="X28" s="44" t="n">
        <x:f>H28-D28</x:f>
        <x:v>-3681.5225640820863</x:v>
      </x:c>
      <x:c r="Y28" s="44" t="n">
        <x:f>I28-E28</x:f>
        <x:v>-1826.6327631935746</x:v>
      </x:c>
      <x:c r="Z28" s="44" t="n">
        <x:f>J28-F28</x:f>
        <x:v>-1227.5520344089455</x:v>
      </x:c>
      <x:c r="AA28" s="44" t="n">
        <x:f>K28-G28</x:f>
        <x:v>-233.4005776045924</x:v>
      </x:c>
      <x:c r="AB28" s="44" t="n">
        <x:f>(ABS(D28-H27)+ABS(E28-I27)+ABS(F28-J27)+ABS(G28-K27))/2</x:f>
        <x:v>0</x:v>
      </x:c>
    </x:row>
    <x:row r="29" ht="22" customHeight="1">
      <x:c r="A29" s="2"/>
      <x:c r="B29" s="2"/>
      <x:c r="C29" s="42" t="n">
        <x:f>'Monthly'!C30</x:f>
        <x:v>44865</x:v>
      </x:c>
      <x:c r="D29" s="43" t="n">
        <x:f>IF(MOD(ROW()-8,'Allocation'!$G$17)=0,L28*'Allocation'!$G$8,H28)</x:f>
        <x:v>35760.4760231511</x:v>
      </x:c>
      <x:c r="E29" s="43" t="n">
        <x:f>IF(MOD(ROW()-8,'Allocation'!$G$17)=0,L28*'Allocation'!$G$9,I28)</x:f>
        <x:v>17880.23801157555</x:v>
      </x:c>
      <x:c r="F29" s="43" t="n">
        <x:f>IF(MOD(ROW()-8,'Allocation'!$G$17)=0,L28*'Allocation'!$G$10,J28)</x:f>
        <x:v>26820.357017363327</x:v>
      </x:c>
      <x:c r="G29" s="43" t="n">
        <x:f>IF(MOD(ROW()-8,'Allocation'!$G$17)=0,L28*'Allocation'!$G$11,K28)</x:f>
        <x:v>8940.119005787776</x:v>
      </x:c>
      <x:c r="H29" s="43" t="n">
        <x:f>D29*(1+'Monthly'!D30)</x:f>
        <x:v>38654.56669884284</x:v>
      </x:c>
      <x:c r="I29" s="43" t="n">
        <x:f>E29*(1+'Monthly'!E30)</x:f>
        <x:v>18902.98762583767</x:v>
      </x:c>
      <x:c r="J29" s="43" t="n">
        <x:f>F29*(1+'Monthly'!F30)</x:f>
        <x:v>26471.692376137602</x:v>
      </x:c>
      <x:c r="K29" s="43" t="n">
        <x:f>G29*(1+'Monthly'!G30)</x:f>
        <x:v>8763.104649473178</x:v>
      </x:c>
      <x:c r="L29" s="44" t="n">
        <x:f>SUM(H29:K29)</x:f>
        <x:v>92792.35135029131</x:v>
      </x:c>
      <x:c r="M29" s="43" t="n">
        <x:f>IF(MOD(ROW()-8,'Allocation'!$G$17)=0,U28*'Allocation'!$H$8,Q28)</x:f>
        <x:v>55547.75452274571</x:v>
      </x:c>
      <x:c r="N29" s="43" t="n">
        <x:f>IF(MOD(ROW()-8,'Allocation'!$G$17)=0,U28*'Allocation'!$H$9,R28)</x:f>
        <x:v>0</x:v>
      </x:c>
      <x:c r="O29" s="43" t="n">
        <x:f>IF(MOD(ROW()-8,'Allocation'!$G$17)=0,U28*'Allocation'!$H$10,S28)</x:f>
        <x:v>37031.83634849714</x:v>
      </x:c>
      <x:c r="P29" s="43" t="n">
        <x:f>IF(MOD(ROW()-8,'Allocation'!$G$17)=0,U28*'Allocation'!$H$11,T28)</x:f>
        <x:v>0</x:v>
      </x:c>
      <x:c r="Q29" s="43" t="n">
        <x:f>M29*(1+'Monthly'!D30)</x:f>
        <x:v>60043.227075063434</x:v>
      </x:c>
      <x:c r="R29" s="43" t="n">
        <x:f>N29*(1+'Monthly'!E30)</x:f>
        <x:v>0</x:v>
      </x:c>
      <x:c r="S29" s="43" t="n">
        <x:f>O29*(1+'Monthly'!F30)</x:f>
        <x:v>36550.422475966676</x:v>
      </x:c>
      <x:c r="T29" s="43" t="n">
        <x:f>P29*(1+'Monthly'!G30)</x:f>
        <x:v>0</x:v>
      </x:c>
      <x:c r="U29" s="44" t="n">
        <x:f>SUM(Q29:T29)</x:f>
        <x:v>96593.6495510301</x:v>
      </x:c>
      <x:c r="V29" s="21" t="n">
        <x:f>L29/SUM(D29:G29)-1</x:f>
        <x:v>0.03793194800000044</x:v>
      </x:c>
      <x:c r="W29" s="21" t="n">
        <x:f>U29/SUM(M29:P29)-1</x:f>
        <x:v>0.04335792199999999</x:v>
      </x:c>
      <x:c r="X29" s="44" t="n">
        <x:f>H29-D29</x:f>
        <x:v>2894.0906756917393</x:v>
      </x:c>
      <x:c r="Y29" s="44" t="n">
        <x:f>I29-E29</x:f>
        <x:v>1022.7496142621203</x:v>
      </x:c>
      <x:c r="Z29" s="44" t="n">
        <x:f>J29-F29</x:f>
        <x:v>-348.66464122572506</x:v>
      </x:c>
      <x:c r="AA29" s="44" t="n">
        <x:f>K29-G29</x:f>
        <x:v>-177.01435631459753</x:v>
      </x:c>
      <x:c r="AB29" s="44" t="n">
        <x:f>(ABS(D29-H28)+ABS(E29-I28)+ABS(F29-J28)+ABS(G29-K28))/2</x:f>
        <x:v>950.3741972929329</x:v>
      </x:c>
    </x:row>
    <x:row r="30" ht="22" customHeight="1">
      <x:c r="A30" s="2"/>
      <x:c r="B30" s="2"/>
      <x:c r="C30" s="42" t="n">
        <x:f>'Monthly'!C31</x:f>
        <x:v>44895</x:v>
      </x:c>
      <x:c r="D30" s="43" t="n">
        <x:f>IF(MOD(ROW()-8,'Allocation'!$G$17)=0,L29*'Allocation'!$G$8,H29)</x:f>
        <x:v>38654.56669884284</x:v>
      </x:c>
      <x:c r="E30" s="43" t="n">
        <x:f>IF(MOD(ROW()-8,'Allocation'!$G$17)=0,L29*'Allocation'!$G$9,I29)</x:f>
        <x:v>18902.98762583767</x:v>
      </x:c>
      <x:c r="F30" s="43" t="n">
        <x:f>IF(MOD(ROW()-8,'Allocation'!$G$17)=0,L29*'Allocation'!$G$10,J29)</x:f>
        <x:v>26471.692376137602</x:v>
      </x:c>
      <x:c r="G30" s="43" t="n">
        <x:f>IF(MOD(ROW()-8,'Allocation'!$G$17)=0,L29*'Allocation'!$G$11,K29)</x:f>
        <x:v>8763.104649473178</x:v>
      </x:c>
      <x:c r="H30" s="43" t="n">
        <x:f>D30*(1+'Monthly'!D31)</x:f>
        <x:v>40813.45362644391</x:v>
      </x:c>
      <x:c r="I30" s="43" t="n">
        <x:f>E30*(1+'Monthly'!E31)</x:f>
        <x:v>21460.561851613507</x:v>
      </x:c>
      <x:c r="J30" s="43" t="n">
        <x:f>F30*(1+'Monthly'!F31)</x:f>
        <x:v>27448.497824817077</x:v>
      </x:c>
      <x:c r="K30" s="43" t="n">
        <x:f>G30*(1+'Monthly'!G31)</x:f>
        <x:v>9373.36725726249</x:v>
      </x:c>
      <x:c r="L30" s="44" t="n">
        <x:f>SUM(H30:K30)</x:f>
        <x:v>99095.88056013698</x:v>
      </x:c>
      <x:c r="M30" s="43" t="n">
        <x:f>IF(MOD(ROW()-8,'Allocation'!$G$17)=0,U29*'Allocation'!$H$8,Q29)</x:f>
        <x:v>60043.227075063434</x:v>
      </x:c>
      <x:c r="N30" s="43" t="n">
        <x:f>IF(MOD(ROW()-8,'Allocation'!$G$17)=0,U29*'Allocation'!$H$9,R29)</x:f>
        <x:v>0</x:v>
      </x:c>
      <x:c r="O30" s="43" t="n">
        <x:f>IF(MOD(ROW()-8,'Allocation'!$G$17)=0,U29*'Allocation'!$H$10,S29)</x:f>
        <x:v>36550.422475966676</x:v>
      </x:c>
      <x:c r="P30" s="43" t="n">
        <x:f>IF(MOD(ROW()-8,'Allocation'!$G$17)=0,U29*'Allocation'!$H$11,T29)</x:f>
        <x:v>0</x:v>
      </x:c>
      <x:c r="Q30" s="43" t="n">
        <x:f>M30*(1+'Monthly'!D31)</x:f>
        <x:v>63396.6869400583</x:v>
      </x:c>
      <x:c r="R30" s="43" t="n">
        <x:f>N30*(1+'Monthly'!E31)</x:f>
        <x:v>0</x:v>
      </x:c>
      <x:c r="S30" s="43" t="n">
        <x:f>O30*(1+'Monthly'!F31)</x:f>
        <x:v>37899.13306532984</x:v>
      </x:c>
      <x:c r="T30" s="43" t="n">
        <x:f>P30*(1+'Monthly'!G31)</x:f>
        <x:v>0</x:v>
      </x:c>
      <x:c r="U30" s="44" t="n">
        <x:f>SUM(Q30:T30)</x:f>
        <x:v>101295.82000538814</x:v>
      </x:c>
      <x:c r="V30" s="21" t="n">
        <x:f>L30/SUM(D30:G30)-1</x:f>
        <x:v>0.06793156028614722</x:v>
      </x:c>
      <x:c r="W30" s="21" t="n">
        <x:f>U30/SUM(M30:P30)-1</x:f>
        <x:v>0.048679912977859896</x:v>
      </x:c>
      <x:c r="X30" s="44" t="n">
        <x:f>H30-D30</x:f>
        <x:v>2158.8869276010664</x:v>
      </x:c>
      <x:c r="Y30" s="44" t="n">
        <x:f>I30-E30</x:f>
        <x:v>2557.5742257758357</x:v>
      </x:c>
      <x:c r="Z30" s="44" t="n">
        <x:f>J30-F30</x:f>
        <x:v>976.8054486794754</x:v>
      </x:c>
      <x:c r="AA30" s="44" t="n">
        <x:f>K30-G30</x:f>
        <x:v>610.262607789311</x:v>
      </x:c>
      <x:c r="AB30" s="44" t="n">
        <x:f>(ABS(D30-H29)+ABS(E30-I29)+ABS(F30-J29)+ABS(G30-K29))/2</x:f>
        <x:v>0</x:v>
      </x:c>
    </x:row>
    <x:row r="31" ht="22" customHeight="1">
      <x:c r="A31" s="2"/>
      <x:c r="B31" s="2"/>
      <x:c r="C31" s="42" t="n">
        <x:f>'Monthly'!C32</x:f>
        <x:v>44926</x:v>
      </x:c>
      <x:c r="D31" s="43" t="n">
        <x:f>IF(MOD(ROW()-8,'Allocation'!$G$17)=0,L30*'Allocation'!$G$8,H30)</x:f>
        <x:v>40813.45362644391</x:v>
      </x:c>
      <x:c r="E31" s="43" t="n">
        <x:f>IF(MOD(ROW()-8,'Allocation'!$G$17)=0,L30*'Allocation'!$G$9,I30)</x:f>
        <x:v>21460.561851613507</x:v>
      </x:c>
      <x:c r="F31" s="43" t="n">
        <x:f>IF(MOD(ROW()-8,'Allocation'!$G$17)=0,L30*'Allocation'!$G$10,J30)</x:f>
        <x:v>27448.497824817077</x:v>
      </x:c>
      <x:c r="G31" s="43" t="n">
        <x:f>IF(MOD(ROW()-8,'Allocation'!$G$17)=0,L30*'Allocation'!$G$11,K30)</x:f>
        <x:v>9373.36725726249</x:v>
      </x:c>
      <x:c r="H31" s="43" t="n">
        <x:f>D31*(1+'Monthly'!D32)</x:f>
        <x:v>38461.62162348092</x:v>
      </x:c>
      <x:c r="I31" s="43" t="n">
        <x:f>E31*(1+'Monthly'!E32)</x:f>
        <x:v>21091.440187765755</x:v>
      </x:c>
      <x:c r="J31" s="43" t="n">
        <x:f>F31*(1+'Monthly'!F32)</x:f>
        <x:v>27272.827438738248</x:v>
      </x:c>
      <x:c r="K31" s="43" t="n">
        <x:f>G31*(1+'Monthly'!G32)</x:f>
        <x:v>9686.062788964766</x:v>
      </x:c>
      <x:c r="L31" s="44" t="n">
        <x:f>SUM(H31:K31)</x:f>
        <x:v>96511.9520389497</x:v>
      </x:c>
      <x:c r="M31" s="43" t="n">
        <x:f>IF(MOD(ROW()-8,'Allocation'!$G$17)=0,U30*'Allocation'!$H$8,Q30)</x:f>
        <x:v>63396.6869400583</x:v>
      </x:c>
      <x:c r="N31" s="43" t="n">
        <x:f>IF(MOD(ROW()-8,'Allocation'!$G$17)=0,U30*'Allocation'!$H$9,R30)</x:f>
        <x:v>0</x:v>
      </x:c>
      <x:c r="O31" s="43" t="n">
        <x:f>IF(MOD(ROW()-8,'Allocation'!$G$17)=0,U30*'Allocation'!$H$10,S30)</x:f>
        <x:v>37899.13306532984</x:v>
      </x:c>
      <x:c r="P31" s="43" t="n">
        <x:f>IF(MOD(ROW()-8,'Allocation'!$G$17)=0,U30*'Allocation'!$H$11,T30)</x:f>
        <x:v>0</x:v>
      </x:c>
      <x:c r="Q31" s="43" t="n">
        <x:f>M31*(1+'Monthly'!D32)</x:f>
        <x:v>59743.520055625595</x:v>
      </x:c>
      <x:c r="R31" s="43" t="n">
        <x:f>N31*(1+'Monthly'!E32)</x:f>
        <x:v>0</x:v>
      </x:c>
      <x:c r="S31" s="43" t="n">
        <x:f>O31*(1+'Monthly'!F32)</x:f>
        <x:v>37656.57861371173</x:v>
      </x:c>
      <x:c r="T31" s="43" t="n">
        <x:f>P31*(1+'Monthly'!G32)</x:f>
        <x:v>0</x:v>
      </x:c>
      <x:c r="U31" s="44" t="n">
        <x:f>SUM(Q31:T31)</x:f>
        <x:v>97400.09866933733</x:v>
      </x:c>
      <x:c r="V31" s="21" t="n">
        <x:f>L31/SUM(D31:G31)-1</x:f>
        <x:v>-0.026075034669268637</x:v>
      </x:c>
      <x:c r="W31" s="21" t="n">
        <x:f>U31/SUM(M31:P31)-1</x:f>
        <x:v>-0.03845885581303943</x:v>
      </x:c>
      <x:c r="X31" s="44" t="n">
        <x:f>H31-D31</x:f>
        <x:v>-2351.8320029629904</x:v>
      </x:c>
      <x:c r="Y31" s="44" t="n">
        <x:f>I31-E31</x:f>
        <x:v>-369.12166384775264</x:v>
      </x:c>
      <x:c r="Z31" s="44" t="n">
        <x:f>J31-F31</x:f>
        <x:v>-175.67038607882932</x:v>
      </x:c>
      <x:c r="AA31" s="44" t="n">
        <x:f>K31-G31</x:f>
        <x:v>312.69553170227664</x:v>
      </x:c>
      <x:c r="AB31" s="44" t="n">
        <x:f>(ABS(D31-H30)+ABS(E31-I30)+ABS(F31-J30)+ABS(G31-K30))/2</x:f>
        <x:v>0</x:v>
      </x:c>
    </x:row>
    <x:row r="32" ht="22" customHeight="1">
      <x:c r="A32" s="2"/>
      <x:c r="B32" s="2"/>
      <x:c r="C32" s="42" t="n">
        <x:f>'Monthly'!C33</x:f>
        <x:v>44957</x:v>
      </x:c>
      <x:c r="D32" s="43" t="n">
        <x:f>IF(MOD(ROW()-8,'Allocation'!$G$17)=0,L31*'Allocation'!$G$8,H31)</x:f>
        <x:v>38604.780815579885</x:v>
      </x:c>
      <x:c r="E32" s="43" t="n">
        <x:f>IF(MOD(ROW()-8,'Allocation'!$G$17)=0,L31*'Allocation'!$G$9,I31)</x:f>
        <x:v>19302.390407789942</x:v>
      </x:c>
      <x:c r="F32" s="43" t="n">
        <x:f>IF(MOD(ROW()-8,'Allocation'!$G$17)=0,L31*'Allocation'!$G$10,J31)</x:f>
        <x:v>28953.58561168491</x:v>
      </x:c>
      <x:c r="G32" s="43" t="n">
        <x:f>IF(MOD(ROW()-8,'Allocation'!$G$17)=0,L31*'Allocation'!$G$11,K31)</x:f>
        <x:v>9651.195203894971</x:v>
      </x:c>
      <x:c r="H32" s="43" t="n">
        <x:f>D32*(1+'Monthly'!D33)</x:f>
        <x:v>41029.62778259836</x:v>
      </x:c>
      <x:c r="I32" s="43" t="n">
        <x:f>E32*(1+'Monthly'!E33)</x:f>
        <x:v>20941.16335341131</x:v>
      </x:c>
      <x:c r="J32" s="43" t="n">
        <x:f>F32*(1+'Monthly'!F33)</x:f>
        <x:v>29894.577144064668</x:v>
      </x:c>
      <x:c r="K32" s="43" t="n">
        <x:f>G32*(1+'Monthly'!G33)</x:f>
        <x:v>10243.006493797811</x:v>
      </x:c>
      <x:c r="L32" s="44" t="n">
        <x:f>SUM(H32:K32)</x:f>
        <x:v>102108.37477387216</x:v>
      </x:c>
      <x:c r="M32" s="43" t="n">
        <x:f>IF(MOD(ROW()-8,'Allocation'!$G$17)=0,U31*'Allocation'!$H$8,Q31)</x:f>
        <x:v>58440.059201602395</x:v>
      </x:c>
      <x:c r="N32" s="43" t="n">
        <x:f>IF(MOD(ROW()-8,'Allocation'!$G$17)=0,U31*'Allocation'!$H$9,R31)</x:f>
        <x:v>0</x:v>
      </x:c>
      <x:c r="O32" s="43" t="n">
        <x:f>IF(MOD(ROW()-8,'Allocation'!$G$17)=0,U31*'Allocation'!$H$10,S31)</x:f>
        <x:v>38960.03946773493</x:v>
      </x:c>
      <x:c r="P32" s="43" t="n">
        <x:f>IF(MOD(ROW()-8,'Allocation'!$G$17)=0,U31*'Allocation'!$H$11,T31)</x:f>
        <x:v>0</x:v>
      </x:c>
      <x:c r="Q32" s="43" t="n">
        <x:f>M32*(1+'Monthly'!D33)</x:f>
        <x:v>62110.80145977877</x:v>
      </x:c>
      <x:c r="R32" s="43" t="n">
        <x:f>N32*(1+'Monthly'!E33)</x:f>
        <x:v>0</x:v>
      </x:c>
      <x:c r="S32" s="43" t="n">
        <x:f>O32*(1+'Monthly'!F33)</x:f>
        <x:v>40226.240750436315</x:v>
      </x:c>
      <x:c r="T32" s="43" t="n">
        <x:f>P32*(1+'Monthly'!G33)</x:f>
        <x:v>0</x:v>
      </x:c>
      <x:c r="U32" s="44" t="n">
        <x:f>SUM(Q32:T32)</x:f>
        <x:v>102337.04221021509</x:v>
      </x:c>
      <x:c r="V32" s="21" t="n">
        <x:f>L32/SUM(D32:G32)-1</x:f>
        <x:v>0.05798683600000021</x:v>
      </x:c>
      <x:c r="W32" s="21" t="n">
        <x:f>U32/SUM(M32:P32)-1</x:f>
        <x:v>0.05068725400000007</x:v>
      </x:c>
      <x:c r="X32" s="44" t="n">
        <x:f>H32-D32</x:f>
        <x:v>2424.8469670184786</x:v>
      </x:c>
      <x:c r="Y32" s="44" t="n">
        <x:f>I32-E32</x:f>
        <x:v>1638.7729456213674</x:v>
      </x:c>
      <x:c r="Z32" s="44" t="n">
        <x:f>J32-F32</x:f>
        <x:v>940.9915323797577</x:v>
      </x:c>
      <x:c r="AA32" s="44" t="n">
        <x:f>K32-G32</x:f>
        <x:v>591.8112899028401</x:v>
      </x:c>
      <x:c r="AB32" s="44" t="n">
        <x:f>(ABS(D32-H31)+ABS(E32-I31)+ABS(F32-J31)+ABS(G32-K31))/2</x:f>
        <x:v>1823.9173650456178</x:v>
      </x:c>
    </x:row>
    <x:row r="33" ht="22" customHeight="1">
      <x:c r="A33" s="2"/>
      <x:c r="B33" s="2"/>
      <x:c r="C33" s="42" t="n">
        <x:f>'Monthly'!C34</x:f>
        <x:v>44985</x:v>
      </x:c>
      <x:c r="D33" s="43" t="n">
        <x:f>IF(MOD(ROW()-8,'Allocation'!$G$17)=0,L32*'Allocation'!$G$8,H32)</x:f>
        <x:v>41029.62778259836</x:v>
      </x:c>
      <x:c r="E33" s="43" t="n">
        <x:f>IF(MOD(ROW()-8,'Allocation'!$G$17)=0,L32*'Allocation'!$G$9,I32)</x:f>
        <x:v>20941.16335341131</x:v>
      </x:c>
      <x:c r="F33" s="43" t="n">
        <x:f>IF(MOD(ROW()-8,'Allocation'!$G$17)=0,L32*'Allocation'!$G$10,J32)</x:f>
        <x:v>29894.577144064668</x:v>
      </x:c>
      <x:c r="G33" s="43" t="n">
        <x:f>IF(MOD(ROW()-8,'Allocation'!$G$17)=0,L32*'Allocation'!$G$11,K32)</x:f>
        <x:v>10243.006493797811</x:v>
      </x:c>
      <x:c r="H33" s="43" t="n">
        <x:f>D33*(1+'Monthly'!D34)</x:f>
        <x:v>40028.19673219832</x:v>
      </x:c>
      <x:c r="I33" s="43" t="n">
        <x:f>E33*(1+'Monthly'!E34)</x:f>
        <x:v>20312.92845280897</x:v>
      </x:c>
      <x:c r="J33" s="43" t="n">
        <x:f>F33*(1+'Monthly'!F34)</x:f>
        <x:v>29123.2970537478</x:v>
      </x:c>
      <x:c r="K33" s="43" t="n">
        <x:f>G33*(1+'Monthly'!G34)</x:f>
        <x:v>9712.418757419086</x:v>
      </x:c>
      <x:c r="L33" s="44" t="n">
        <x:f>SUM(H33:K33)</x:f>
        <x:v>99176.84099617417</x:v>
      </x:c>
      <x:c r="M33" s="43" t="n">
        <x:f>IF(MOD(ROW()-8,'Allocation'!$G$17)=0,U32*'Allocation'!$H$8,Q32)</x:f>
        <x:v>62110.80145977877</x:v>
      </x:c>
      <x:c r="N33" s="43" t="n">
        <x:f>IF(MOD(ROW()-8,'Allocation'!$G$17)=0,U32*'Allocation'!$H$9,R32)</x:f>
        <x:v>0</x:v>
      </x:c>
      <x:c r="O33" s="43" t="n">
        <x:f>IF(MOD(ROW()-8,'Allocation'!$G$17)=0,U32*'Allocation'!$H$10,S32)</x:f>
        <x:v>40226.240750436315</x:v>
      </x:c>
      <x:c r="P33" s="43" t="n">
        <x:f>IF(MOD(ROW()-8,'Allocation'!$G$17)=0,U32*'Allocation'!$H$11,T32)</x:f>
        <x:v>0</x:v>
      </x:c>
      <x:c r="Q33" s="43" t="n">
        <x:f>M33*(1+'Monthly'!D34)</x:f>
        <x:v>60594.83145204121</x:v>
      </x:c>
      <x:c r="R33" s="43" t="n">
        <x:f>N33*(1+'Monthly'!E34)</x:f>
        <x:v>0</x:v>
      </x:c>
      <x:c r="S33" s="43" t="n">
        <x:f>O33*(1+'Monthly'!F34)</x:f>
        <x:v>39188.40373907505</x:v>
      </x:c>
      <x:c r="T33" s="43" t="n">
        <x:f>P33*(1+'Monthly'!G34)</x:f>
        <x:v>0</x:v>
      </x:c>
      <x:c r="U33" s="44" t="n">
        <x:f>SUM(Q33:T33)</x:f>
        <x:v>99783.23519111626</x:v>
      </x:c>
      <x:c r="V33" s="21" t="n">
        <x:f>L33/SUM(D33:G33)-1</x:f>
        <x:v>-0.02871002289665392</x:v>
      </x:c>
      <x:c r="W33" s="21" t="n">
        <x:f>U33/SUM(M33:P33)-1</x:f>
        <x:v>-0.0249548644747124</x:v>
      </x:c>
      <x:c r="X33" s="44" t="n">
        <x:f>H33-D33</x:f>
        <x:v>-1001.4310504000459</x:v>
      </x:c>
      <x:c r="Y33" s="44" t="n">
        <x:f>I33-E33</x:f>
        <x:v>-628.2349006023396</x:v>
      </x:c>
      <x:c r="Z33" s="44" t="n">
        <x:f>J33-F33</x:f>
        <x:v>-771.2800903168682</x:v>
      </x:c>
      <x:c r="AA33" s="44" t="n">
        <x:f>K33-G33</x:f>
        <x:v>-530.5877363787258</x:v>
      </x:c>
      <x:c r="AB33" s="44" t="n">
        <x:f>(ABS(D33-H32)+ABS(E33-I32)+ABS(F33-J32)+ABS(G33-K32))/2</x:f>
        <x:v>0</x:v>
      </x:c>
    </x:row>
    <x:row r="34" ht="22" customHeight="1">
      <x:c r="A34" s="2"/>
      <x:c r="B34" s="2"/>
      <x:c r="C34" s="42" t="n">
        <x:f>'Monthly'!C35</x:f>
        <x:v>45016</x:v>
      </x:c>
      <x:c r="D34" s="43" t="n">
        <x:f>IF(MOD(ROW()-8,'Allocation'!$G$17)=0,L33*'Allocation'!$G$8,H33)</x:f>
        <x:v>40028.19673219832</x:v>
      </x:c>
      <x:c r="E34" s="43" t="n">
        <x:f>IF(MOD(ROW()-8,'Allocation'!$G$17)=0,L33*'Allocation'!$G$9,I33)</x:f>
        <x:v>20312.92845280897</x:v>
      </x:c>
      <x:c r="F34" s="43" t="n">
        <x:f>IF(MOD(ROW()-8,'Allocation'!$G$17)=0,L33*'Allocation'!$G$10,J33)</x:f>
        <x:v>29123.2970537478</x:v>
      </x:c>
      <x:c r="G34" s="43" t="n">
        <x:f>IF(MOD(ROW()-8,'Allocation'!$G$17)=0,L33*'Allocation'!$G$11,K33)</x:f>
        <x:v>9712.418757419086</x:v>
      </x:c>
      <x:c r="H34" s="43" t="n">
        <x:f>D34*(1+'Monthly'!D35)</x:f>
        <x:v>41497.22034437492</x:v>
      </x:c>
      <x:c r="I34" s="43" t="n">
        <x:f>E34*(1+'Monthly'!E35)</x:f>
        <x:v>20873.5652781065</x:v>
      </x:c>
      <x:c r="J34" s="43" t="n">
        <x:f>F34*(1+'Monthly'!F35)</x:f>
        <x:v>29863.028798912997</x:v>
      </x:c>
      <x:c r="K34" s="43" t="n">
        <x:f>G34*(1+'Monthly'!G35)</x:f>
        <x:v>10535.837619673077</x:v>
      </x:c>
      <x:c r="L34" s="44" t="n">
        <x:f>SUM(H34:K34)</x:f>
        <x:v>102769.6520410675</x:v>
      </x:c>
      <x:c r="M34" s="43" t="n">
        <x:f>IF(MOD(ROW()-8,'Allocation'!$G$17)=0,U33*'Allocation'!$H$8,Q33)</x:f>
        <x:v>60594.83145204121</x:v>
      </x:c>
      <x:c r="N34" s="43" t="n">
        <x:f>IF(MOD(ROW()-8,'Allocation'!$G$17)=0,U33*'Allocation'!$H$9,R33)</x:f>
        <x:v>0</x:v>
      </x:c>
      <x:c r="O34" s="43" t="n">
        <x:f>IF(MOD(ROW()-8,'Allocation'!$G$17)=0,U33*'Allocation'!$H$10,S33)</x:f>
        <x:v>39188.40373907505</x:v>
      </x:c>
      <x:c r="P34" s="43" t="n">
        <x:f>IF(MOD(ROW()-8,'Allocation'!$G$17)=0,U33*'Allocation'!$H$11,T33)</x:f>
        <x:v>0</x:v>
      </x:c>
      <x:c r="Q34" s="43" t="n">
        <x:f>M34*(1+'Monthly'!D35)</x:f>
        <x:v>62818.64479977832</x:v>
      </x:c>
      <x:c r="R34" s="43" t="n">
        <x:f>N34*(1+'Monthly'!E35)</x:f>
        <x:v>0</x:v>
      </x:c>
      <x:c r="S34" s="43" t="n">
        <x:f>O34*(1+'Monthly'!F35)</x:f>
        <x:v>40183.78919404756</x:v>
      </x:c>
      <x:c r="T34" s="43" t="n">
        <x:f>P34*(1+'Monthly'!G35)</x:f>
        <x:v>0</x:v>
      </x:c>
      <x:c r="U34" s="44" t="n">
        <x:f>SUM(Q34:T34)</x:f>
        <x:v>103002.43399382588</x:v>
      </x:c>
      <x:c r="V34" s="21" t="n">
        <x:f>L34/SUM(D34:G34)-1</x:f>
        <x:v>0.03622631058627812</x:v>
      </x:c>
      <x:c r="W34" s="21" t="n">
        <x:f>U34/SUM(M34:P34)-1</x:f>
        <x:v>0.03226192051744814</x:v>
      </x:c>
      <x:c r="X34" s="44" t="n">
        <x:f>H34-D34</x:f>
        <x:v>1469.0236121765993</x:v>
      </x:c>
      <x:c r="Y34" s="44" t="n">
        <x:f>I34-E34</x:f>
        <x:v>560.6368252975299</x:v>
      </x:c>
      <x:c r="Z34" s="44" t="n">
        <x:f>J34-F34</x:f>
        <x:v>739.7317451651979</x:v>
      </x:c>
      <x:c r="AA34" s="44" t="n">
        <x:f>K34-G34</x:f>
        <x:v>823.4188622539914</x:v>
      </x:c>
      <x:c r="AB34" s="44" t="n">
        <x:f>(ABS(D34-H33)+ABS(E34-I33)+ABS(F34-J33)+ABS(G34-K33))/2</x:f>
        <x:v>0</x:v>
      </x:c>
    </x:row>
    <x:row r="35" ht="22" customHeight="1">
      <x:c r="A35" s="2"/>
      <x:c r="B35" s="2"/>
      <x:c r="C35" s="42" t="n">
        <x:f>'Monthly'!C36</x:f>
        <x:v>45046</x:v>
      </x:c>
      <x:c r="D35" s="43" t="n">
        <x:f>IF(MOD(ROW()-8,'Allocation'!$G$17)=0,L34*'Allocation'!$G$8,H34)</x:f>
        <x:v>41107.860816427004</x:v>
      </x:c>
      <x:c r="E35" s="43" t="n">
        <x:f>IF(MOD(ROW()-8,'Allocation'!$G$17)=0,L34*'Allocation'!$G$9,I34)</x:f>
        <x:v>20553.930408213502</x:v>
      </x:c>
      <x:c r="F35" s="43" t="n">
        <x:f>IF(MOD(ROW()-8,'Allocation'!$G$17)=0,L34*'Allocation'!$G$10,J34)</x:f>
        <x:v>30830.895612320248</x:v>
      </x:c>
      <x:c r="G35" s="43" t="n">
        <x:f>IF(MOD(ROW()-8,'Allocation'!$G$17)=0,L34*'Allocation'!$G$11,K34)</x:f>
        <x:v>10276.965204106751</x:v>
      </x:c>
      <x:c r="H35" s="43" t="n">
        <x:f>D35*(1+'Monthly'!D36)</x:f>
        <x:v>41749.29801071994</x:v>
      </x:c>
      <x:c r="I35" s="43" t="n">
        <x:f>E35*(1+'Monthly'!E36)</x:f>
        <x:v>21108.886529235264</x:v>
      </x:c>
      <x:c r="J35" s="43" t="n">
        <x:f>F35*(1+'Monthly'!F36)</x:f>
        <x:v>31012.797896432938</x:v>
      </x:c>
      <x:c r="K35" s="43" t="n">
        <x:f>G35*(1+'Monthly'!G36)</x:f>
        <x:v>10289.811410611885</x:v>
      </x:c>
      <x:c r="L35" s="44" t="n">
        <x:f>SUM(H35:K35)</x:f>
        <x:v>104160.79384700004</x:v>
      </x:c>
      <x:c r="M35" s="43" t="n">
        <x:f>IF(MOD(ROW()-8,'Allocation'!$G$17)=0,U34*'Allocation'!$H$8,Q34)</x:f>
        <x:v>61801.46039629552</x:v>
      </x:c>
      <x:c r="N35" s="43" t="n">
        <x:f>IF(MOD(ROW()-8,'Allocation'!$G$17)=0,U34*'Allocation'!$H$9,R34)</x:f>
        <x:v>0</x:v>
      </x:c>
      <x:c r="O35" s="43" t="n">
        <x:f>IF(MOD(ROW()-8,'Allocation'!$G$17)=0,U34*'Allocation'!$H$10,S34)</x:f>
        <x:v>41200.973597530356</x:v>
      </x:c>
      <x:c r="P35" s="43" t="n">
        <x:f>IF(MOD(ROW()-8,'Allocation'!$G$17)=0,U34*'Allocation'!$H$11,T34)</x:f>
        <x:v>0</x:v>
      </x:c>
      <x:c r="Q35" s="43" t="n">
        <x:f>M35*(1+'Monthly'!D36)</x:f>
        <x:v>62765.795551968826</x:v>
      </x:c>
      <x:c r="R35" s="43" t="n">
        <x:f>N35*(1+'Monthly'!E36)</x:f>
        <x:v>0</x:v>
      </x:c>
      <x:c r="S35" s="43" t="n">
        <x:f>O35*(1+'Monthly'!F36)</x:f>
        <x:v>41444.05934175578</x:v>
      </x:c>
      <x:c r="T35" s="43" t="n">
        <x:f>P35*(1+'Monthly'!G36)</x:f>
        <x:v>0</x:v>
      </x:c>
      <x:c r="U35" s="44" t="n">
        <x:f>SUM(Q35:T35)</x:f>
        <x:v>104209.85489372461</x:v>
      </x:c>
      <x:c r="V35" s="21" t="n">
        <x:f>L35/SUM(D35:G35)-1</x:f>
        <x:v>0.013536504000000171</x:v>
      </x:c>
      <x:c r="W35" s="21" t="n">
        <x:f>U35/SUM(M35:P35)-1</x:f>
        <x:v>0.011722256000000097</x:v>
      </x:c>
      <x:c r="X35" s="44" t="n">
        <x:f>H35-D35</x:f>
        <x:v>641.4371942929356</x:v>
      </x:c>
      <x:c r="Y35" s="44" t="n">
        <x:f>I35-E35</x:f>
        <x:v>554.9561210217616</x:v>
      </x:c>
      <x:c r="Z35" s="44" t="n">
        <x:f>J35-F35</x:f>
        <x:v>181.9022841126898</x:v>
      </x:c>
      <x:c r="AA35" s="44" t="n">
        <x:f>K35-G35</x:f>
        <x:v>12.846206505133523</x:v>
      </x:c>
      <x:c r="AB35" s="44" t="n">
        <x:f>(ABS(D35-H34)+ABS(E35-I34)+ABS(F35-J34)+ABS(G35-K34))/2</x:f>
        <x:v>967.8668134072432</x:v>
      </x:c>
    </x:row>
    <x:row r="36" ht="22" customHeight="1">
      <x:c r="A36" s="2"/>
      <x:c r="B36" s="2"/>
      <x:c r="C36" s="42" t="n">
        <x:f>'Monthly'!C37</x:f>
        <x:v>45077</x:v>
      </x:c>
      <x:c r="D36" s="43" t="n">
        <x:f>IF(MOD(ROW()-8,'Allocation'!$G$17)=0,L35*'Allocation'!$G$8,H35)</x:f>
        <x:v>41749.29801071994</x:v>
      </x:c>
      <x:c r="E36" s="43" t="n">
        <x:f>IF(MOD(ROW()-8,'Allocation'!$G$17)=0,L35*'Allocation'!$G$9,I35)</x:f>
        <x:v>21108.886529235264</x:v>
      </x:c>
      <x:c r="F36" s="43" t="n">
        <x:f>IF(MOD(ROW()-8,'Allocation'!$G$17)=0,L35*'Allocation'!$G$10,J35)</x:f>
        <x:v>31012.797896432938</x:v>
      </x:c>
      <x:c r="G36" s="43" t="n">
        <x:f>IF(MOD(ROW()-8,'Allocation'!$G$17)=0,L35*'Allocation'!$G$11,K35)</x:f>
        <x:v>10289.811410611885</x:v>
      </x:c>
      <x:c r="H36" s="43" t="n">
        <x:f>D36*(1+'Monthly'!D37)</x:f>
        <x:v>41929.05963313662</x:v>
      </x:c>
      <x:c r="I36" s="43" t="n">
        <x:f>E36*(1+'Monthly'!E37)</x:f>
        <x:v>20285.639954595088</x:v>
      </x:c>
      <x:c r="J36" s="43" t="n">
        <x:f>F36*(1+'Monthly'!F37)</x:f>
        <x:v>30677.85967915146</x:v>
      </x:c>
      <x:c r="K36" s="43" t="n">
        <x:f>G36*(1+'Monthly'!G37)</x:f>
        <x:v>10193.292979580347</x:v>
      </x:c>
      <x:c r="L36" s="44" t="n">
        <x:f>SUM(H36:K36)</x:f>
        <x:v>103085.85224646352</x:v>
      </x:c>
      <x:c r="M36" s="43" t="n">
        <x:f>IF(MOD(ROW()-8,'Allocation'!$G$17)=0,U35*'Allocation'!$H$8,Q35)</x:f>
        <x:v>62765.795551968826</x:v>
      </x:c>
      <x:c r="N36" s="43" t="n">
        <x:f>IF(MOD(ROW()-8,'Allocation'!$G$17)=0,U35*'Allocation'!$H$9,R35)</x:f>
        <x:v>0</x:v>
      </x:c>
      <x:c r="O36" s="43" t="n">
        <x:f>IF(MOD(ROW()-8,'Allocation'!$G$17)=0,U35*'Allocation'!$H$10,S35)</x:f>
        <x:v>41444.05934175578</x:v>
      </x:c>
      <x:c r="P36" s="43" t="n">
        <x:f>IF(MOD(ROW()-8,'Allocation'!$G$17)=0,U35*'Allocation'!$H$11,T35)</x:f>
        <x:v>0</x:v>
      </x:c>
      <x:c r="Q36" s="43" t="n">
        <x:f>M36*(1+'Monthly'!D37)</x:f>
        <x:v>63036.04874850876</x:v>
      </x:c>
      <x:c r="R36" s="43" t="n">
        <x:f>N36*(1+'Monthly'!E37)</x:f>
        <x:v>0</x:v>
      </x:c>
      <x:c r="S36" s="43" t="n">
        <x:f>O36*(1+'Monthly'!F37)</x:f>
        <x:v>40996.46350086482</x:v>
      </x:c>
      <x:c r="T36" s="43" t="n">
        <x:f>P36*(1+'Monthly'!G37)</x:f>
        <x:v>0</x:v>
      </x:c>
      <x:c r="U36" s="44" t="n">
        <x:f>SUM(Q36:T36)</x:f>
        <x:v>104032.51224937357</x:v>
      </x:c>
      <x:c r="V36" s="21" t="n">
        <x:f>L36/SUM(D36:G36)-1</x:f>
        <x:v>-0.01032002119833575</x:v>
      </x:c>
      <x:c r="W36" s="21" t="n">
        <x:f>U36/SUM(M36:P36)-1</x:f>
        <x:v>-0.0017017838143225106</x:v>
      </x:c>
      <x:c r="X36" s="44" t="n">
        <x:f>H36-D36</x:f>
        <x:v>179.7616224166777</x:v>
      </x:c>
      <x:c r="Y36" s="44" t="n">
        <x:f>I36-E36</x:f>
        <x:v>-823.2465746401758</x:v>
      </x:c>
      <x:c r="Z36" s="44" t="n">
        <x:f>J36-F36</x:f>
        <x:v>-334.9382172814767</x:v>
      </x:c>
      <x:c r="AA36" s="44" t="n">
        <x:f>K36-G36</x:f>
        <x:v>-96.51843103153806</x:v>
      </x:c>
      <x:c r="AB36" s="44" t="n">
        <x:f>(ABS(D36-H35)+ABS(E36-I35)+ABS(F36-J35)+ABS(G36-K35))/2</x:f>
        <x:v>0</x:v>
      </x:c>
    </x:row>
    <x:row r="37" ht="22" customHeight="1">
      <x:c r="A37" s="2"/>
      <x:c r="B37" s="2"/>
      <x:c r="C37" s="42" t="n">
        <x:f>'Monthly'!C38</x:f>
        <x:v>45107</x:v>
      </x:c>
      <x:c r="D37" s="43" t="n">
        <x:f>IF(MOD(ROW()-8,'Allocation'!$G$17)=0,L36*'Allocation'!$G$8,H36)</x:f>
        <x:v>41929.05963313662</x:v>
      </x:c>
      <x:c r="E37" s="43" t="n">
        <x:f>IF(MOD(ROW()-8,'Allocation'!$G$17)=0,L36*'Allocation'!$G$9,I36)</x:f>
        <x:v>20285.639954595088</x:v>
      </x:c>
      <x:c r="F37" s="43" t="n">
        <x:f>IF(MOD(ROW()-8,'Allocation'!$G$17)=0,L36*'Allocation'!$G$10,J36)</x:f>
        <x:v>30677.85967915146</x:v>
      </x:c>
      <x:c r="G37" s="43" t="n">
        <x:f>IF(MOD(ROW()-8,'Allocation'!$G$17)=0,L36*'Allocation'!$G$11,K36)</x:f>
        <x:v>10193.292979580347</x:v>
      </x:c>
      <x:c r="H37" s="43" t="n">
        <x:f>D37*(1+'Monthly'!D38)</x:f>
        <x:v>44698.01070579635</x:v>
      </x:c>
      <x:c r="I37" s="43" t="n">
        <x:f>E37*(1+'Monthly'!E38)</x:f>
        <x:v>21153.865344651756</x:v>
      </x:c>
      <x:c r="J37" s="43" t="n">
        <x:f>F37*(1+'Monthly'!F38)</x:f>
        <x:v>30567.419384306515</x:v>
      </x:c>
      <x:c r="K37" s="43" t="n">
        <x:f>G37*(1+'Monthly'!G38)</x:f>
        <x:v>9920.622392376572</x:v>
      </x:c>
      <x:c r="L37" s="44" t="n">
        <x:f>SUM(H37:K37)</x:f>
        <x:v>106339.9178271312</x:v>
      </x:c>
      <x:c r="M37" s="43" t="n">
        <x:f>IF(MOD(ROW()-8,'Allocation'!$G$17)=0,U36*'Allocation'!$H$8,Q36)</x:f>
        <x:v>63036.04874850876</x:v>
      </x:c>
      <x:c r="N37" s="43" t="n">
        <x:f>IF(MOD(ROW()-8,'Allocation'!$G$17)=0,U36*'Allocation'!$H$9,R36)</x:f>
        <x:v>0</x:v>
      </x:c>
      <x:c r="O37" s="43" t="n">
        <x:f>IF(MOD(ROW()-8,'Allocation'!$G$17)=0,U36*'Allocation'!$H$10,S36)</x:f>
        <x:v>40996.46350086482</x:v>
      </x:c>
      <x:c r="P37" s="43" t="n">
        <x:f>IF(MOD(ROW()-8,'Allocation'!$G$17)=0,U36*'Allocation'!$H$11,T36)</x:f>
        <x:v>0</x:v>
      </x:c>
      <x:c r="Q37" s="43" t="n">
        <x:f>M37*(1+'Monthly'!D38)</x:f>
        <x:v>67198.8832200091</x:v>
      </x:c>
      <x:c r="R37" s="43" t="n">
        <x:f>N37*(1+'Monthly'!E38)</x:f>
        <x:v>0</x:v>
      </x:c>
      <x:c r="S37" s="43" t="n">
        <x:f>O37*(1+'Monthly'!F38)</x:f>
        <x:v>40848.876232261704</x:v>
      </x:c>
      <x:c r="T37" s="43" t="n">
        <x:f>P37*(1+'Monthly'!G38)</x:f>
        <x:v>0</x:v>
      </x:c>
      <x:c r="U37" s="44" t="n">
        <x:f>SUM(Q37:T37)</x:f>
        <x:v>108047.75945227081</x:v>
      </x:c>
      <x:c r="V37" s="21" t="n">
        <x:f>L37/SUM(D37:G37)-1</x:f>
        <x:v>0.03156655845350809</x:v>
      </x:c>
      <x:c r="W37" s="21" t="n">
        <x:f>U37/SUM(M37:P37)-1</x:f>
        <x:v>0.0385960803606511</x:v>
      </x:c>
      <x:c r="X37" s="44" t="n">
        <x:f>H37-D37</x:f>
        <x:v>2768.951072659729</x:v>
      </x:c>
      <x:c r="Y37" s="44" t="n">
        <x:f>I37-E37</x:f>
        <x:v>868.2253900566684</x:v>
      </x:c>
      <x:c r="Z37" s="44" t="n">
        <x:f>J37-F37</x:f>
        <x:v>-110.44029484494604</x:v>
      </x:c>
      <x:c r="AA37" s="44" t="n">
        <x:f>K37-G37</x:f>
        <x:v>-272.67058720377463</x:v>
      </x:c>
      <x:c r="AB37" s="44" t="n">
        <x:f>(ABS(D37-H36)+ABS(E37-I36)+ABS(F37-J36)+ABS(G37-K36))/2</x:f>
        <x:v>0</x:v>
      </x:c>
    </x:row>
    <x:row r="38" ht="22" customHeight="1">
      <x:c r="A38" s="2"/>
      <x:c r="B38" s="2"/>
      <x:c r="C38" s="42" t="n">
        <x:f>'Monthly'!C39</x:f>
        <x:v>45138</x:v>
      </x:c>
      <x:c r="D38" s="43" t="n">
        <x:f>IF(MOD(ROW()-8,'Allocation'!$G$17)=0,L37*'Allocation'!$G$8,H37)</x:f>
        <x:v>42535.967130852485</x:v>
      </x:c>
      <x:c r="E38" s="43" t="n">
        <x:f>IF(MOD(ROW()-8,'Allocation'!$G$17)=0,L37*'Allocation'!$G$9,I37)</x:f>
        <x:v>21267.983565426242</x:v>
      </x:c>
      <x:c r="F38" s="43" t="n">
        <x:f>IF(MOD(ROW()-8,'Allocation'!$G$17)=0,L37*'Allocation'!$G$10,J37)</x:f>
        <x:v>31901.975348139356</x:v>
      </x:c>
      <x:c r="G38" s="43" t="n">
        <x:f>IF(MOD(ROW()-8,'Allocation'!$G$17)=0,L37*'Allocation'!$G$11,K37)</x:f>
        <x:v>10633.991782713121</x:v>
      </x:c>
      <x:c r="H38" s="43" t="n">
        <x:f>D38*(1+'Monthly'!D39)</x:f>
        <x:v>43902.21771613908</x:v>
      </x:c>
      <x:c r="I38" s="43" t="n">
        <x:f>E38*(1+'Monthly'!E39)</x:f>
        <x:v>21889.008685536686</x:v>
      </x:c>
      <x:c r="J38" s="43" t="n">
        <x:f>F38*(1+'Monthly'!F39)</x:f>
        <x:v>31879.64396539566</x:v>
      </x:c>
      <x:c r="K38" s="43" t="n">
        <x:f>G38*(1+'Monthly'!G39)</x:f>
        <x:v>10956.414413564982</x:v>
      </x:c>
      <x:c r="L38" s="44" t="n">
        <x:f>SUM(H38:K38)</x:f>
        <x:v>108627.28478063642</x:v>
      </x:c>
      <x:c r="M38" s="43" t="n">
        <x:f>IF(MOD(ROW()-8,'Allocation'!$G$17)=0,U37*'Allocation'!$H$8,Q37)</x:f>
        <x:v>64828.65567136248</x:v>
      </x:c>
      <x:c r="N38" s="43" t="n">
        <x:f>IF(MOD(ROW()-8,'Allocation'!$G$17)=0,U37*'Allocation'!$H$9,R37)</x:f>
        <x:v>0</x:v>
      </x:c>
      <x:c r="O38" s="43" t="n">
        <x:f>IF(MOD(ROW()-8,'Allocation'!$G$17)=0,U37*'Allocation'!$H$10,S37)</x:f>
        <x:v>43219.10378090833</x:v>
      </x:c>
      <x:c r="P38" s="43" t="n">
        <x:f>IF(MOD(ROW()-8,'Allocation'!$G$17)=0,U37*'Allocation'!$H$11,T37)</x:f>
        <x:v>0</x:v>
      </x:c>
      <x:c r="Q38" s="43" t="n">
        <x:f>M38*(1+'Monthly'!D39)</x:f>
        <x:v>66910.94496037452</x:v>
      </x:c>
      <x:c r="R38" s="43" t="n">
        <x:f>N38*(1+'Monthly'!E39)</x:f>
        <x:v>0</x:v>
      </x:c>
      <x:c r="S38" s="43" t="n">
        <x:f>O38*(1+'Monthly'!F39)</x:f>
        <x:v>43188.85040826169</x:v>
      </x:c>
      <x:c r="T38" s="43" t="n">
        <x:f>P38*(1+'Monthly'!G39)</x:f>
        <x:v>0</x:v>
      </x:c>
      <x:c r="U38" s="44" t="n">
        <x:f>SUM(Q38:T38)</x:f>
        <x:v>110099.7953686362</x:v>
      </x:c>
      <x:c r="V38" s="21" t="n">
        <x:f>L38/SUM(D38:G38)-1</x:f>
        <x:v>0.021509956000000052</x:v>
      </x:c>
      <x:c r="W38" s="21" t="n">
        <x:f>U38/SUM(M38:P38)-1</x:f>
        <x:v>0.018991933999999988</x:v>
      </x:c>
      <x:c r="X38" s="44" t="n">
        <x:f>H38-D38</x:f>
        <x:v>1366.2505852865943</x:v>
      </x:c>
      <x:c r="Y38" s="44" t="n">
        <x:f>I38-E38</x:f>
        <x:v>621.0251201104438</x:v>
      </x:c>
      <x:c r="Z38" s="44" t="n">
        <x:f>J38-F38</x:f>
        <x:v>-22.33138274369776</x:v>
      </x:c>
      <x:c r="AA38" s="44" t="n">
        <x:f>K38-G38</x:f>
        <x:v>322.42263085186096</x:v>
      </x:c>
      <x:c r="AB38" s="44" t="n">
        <x:f>(ABS(D38-H37)+ABS(E38-I37)+ABS(F38-J37)+ABS(G38-K37))/2</x:f>
        <x:v>2162.0435749438693</x:v>
      </x:c>
    </x:row>
    <x:row r="39" ht="22" customHeight="1">
      <x:c r="A39" s="2"/>
      <x:c r="B39" s="2"/>
      <x:c r="C39" s="42" t="n">
        <x:f>'Monthly'!C40</x:f>
        <x:v>45169</x:v>
      </x:c>
      <x:c r="D39" s="43" t="n">
        <x:f>IF(MOD(ROW()-8,'Allocation'!$G$17)=0,L38*'Allocation'!$G$8,H38)</x:f>
        <x:v>43902.21771613908</x:v>
      </x:c>
      <x:c r="E39" s="43" t="n">
        <x:f>IF(MOD(ROW()-8,'Allocation'!$G$17)=0,L38*'Allocation'!$G$9,I38)</x:f>
        <x:v>21889.008685536686</x:v>
      </x:c>
      <x:c r="F39" s="43" t="n">
        <x:f>IF(MOD(ROW()-8,'Allocation'!$G$17)=0,L38*'Allocation'!$G$10,J38)</x:f>
        <x:v>31879.64396539566</x:v>
      </x:c>
      <x:c r="G39" s="43" t="n">
        <x:f>IF(MOD(ROW()-8,'Allocation'!$G$17)=0,L38*'Allocation'!$G$11,K38)</x:f>
        <x:v>10956.414413564982</x:v>
      </x:c>
      <x:c r="H39" s="43" t="n">
        <x:f>D39*(1+'Monthly'!D40)</x:f>
        <x:v>43206.61078362443</x:v>
      </x:c>
      <x:c r="I39" s="43" t="n">
        <x:f>E39*(1+'Monthly'!E40)</x:f>
        <x:v>21044.09295027497</x:v>
      </x:c>
      <x:c r="J39" s="43" t="n">
        <x:f>F39*(1+'Monthly'!F40)</x:f>
        <x:v>31675.614244017128</x:v>
      </x:c>
      <x:c r="K39" s="43" t="n">
        <x:f>G39*(1+'Monthly'!G40)</x:f>
        <x:v>10796.450763126933</x:v>
      </x:c>
      <x:c r="L39" s="44" t="n">
        <x:f>SUM(H39:K39)</x:f>
        <x:v>106722.76874104346</x:v>
      </x:c>
      <x:c r="M39" s="43" t="n">
        <x:f>IF(MOD(ROW()-8,'Allocation'!$G$17)=0,U38*'Allocation'!$H$8,Q38)</x:f>
        <x:v>66910.94496037452</x:v>
      </x:c>
      <x:c r="N39" s="43" t="n">
        <x:f>IF(MOD(ROW()-8,'Allocation'!$G$17)=0,U38*'Allocation'!$H$9,R38)</x:f>
        <x:v>0</x:v>
      </x:c>
      <x:c r="O39" s="43" t="n">
        <x:f>IF(MOD(ROW()-8,'Allocation'!$G$17)=0,U38*'Allocation'!$H$10,S38)</x:f>
        <x:v>43188.85040826169</x:v>
      </x:c>
      <x:c r="P39" s="43" t="n">
        <x:f>IF(MOD(ROW()-8,'Allocation'!$G$17)=0,U38*'Allocation'!$H$11,T38)</x:f>
        <x:v>0</x:v>
      </x:c>
      <x:c r="Q39" s="43" t="n">
        <x:f>M39*(1+'Monthly'!D40)</x:f>
        <x:v>65850.77716938766</x:v>
      </x:c>
      <x:c r="R39" s="43" t="n">
        <x:f>N39*(1+'Monthly'!E40)</x:f>
        <x:v>0</x:v>
      </x:c>
      <x:c r="S39" s="43" t="n">
        <x:f>O39*(1+'Monthly'!F40)</x:f>
        <x:v>42912.44176564882</x:v>
      </x:c>
      <x:c r="T39" s="43" t="n">
        <x:f>P39*(1+'Monthly'!G40)</x:f>
        <x:v>0</x:v>
      </x:c>
      <x:c r="U39" s="44" t="n">
        <x:f>SUM(Q39:T39)</x:f>
        <x:v>108763.21893503648</x:v>
      </x:c>
      <x:c r="V39" s="21" t="n">
        <x:f>L39/SUM(D39:G39)-1</x:f>
        <x:v>-0.017532575203724976</x:v>
      </x:c>
      <x:c r="W39" s="21" t="n">
        <x:f>U39/SUM(M39:P39)-1</x:f>
        <x:v>-0.012139681360211374</x:v>
      </x:c>
      <x:c r="X39" s="44" t="n">
        <x:f>H39-D39</x:f>
        <x:v>-695.6069325146527</x:v>
      </x:c>
      <x:c r="Y39" s="44" t="n">
        <x:f>I39-E39</x:f>
        <x:v>-844.9157352617149</x:v>
      </x:c>
      <x:c r="Z39" s="44" t="n">
        <x:f>J39-F39</x:f>
        <x:v>-204.02972137853067</x:v>
      </x:c>
      <x:c r="AA39" s="44" t="n">
        <x:f>K39-G39</x:f>
        <x:v>-159.96365043804872</x:v>
      </x:c>
      <x:c r="AB39" s="44" t="n">
        <x:f>(ABS(D39-H38)+ABS(E39-I38)+ABS(F39-J38)+ABS(G39-K38))/2</x:f>
        <x:v>0</x:v>
      </x:c>
    </x:row>
    <x:row r="40" ht="22" customHeight="1">
      <x:c r="A40" s="2"/>
      <x:c r="B40" s="2"/>
      <x:c r="C40" s="42" t="n">
        <x:f>'Monthly'!C41</x:f>
        <x:v>45199</x:v>
      </x:c>
      <x:c r="D40" s="43" t="n">
        <x:f>IF(MOD(ROW()-8,'Allocation'!$G$17)=0,L39*'Allocation'!$G$8,H39)</x:f>
        <x:v>43206.61078362443</x:v>
      </x:c>
      <x:c r="E40" s="43" t="n">
        <x:f>IF(MOD(ROW()-8,'Allocation'!$G$17)=0,L39*'Allocation'!$G$9,I39)</x:f>
        <x:v>21044.09295027497</x:v>
      </x:c>
      <x:c r="F40" s="43" t="n">
        <x:f>IF(MOD(ROW()-8,'Allocation'!$G$17)=0,L39*'Allocation'!$G$10,J39)</x:f>
        <x:v>31675.614244017128</x:v>
      </x:c>
      <x:c r="G40" s="43" t="n">
        <x:f>IF(MOD(ROW()-8,'Allocation'!$G$17)=0,L39*'Allocation'!$G$11,K39)</x:f>
        <x:v>10796.450763126933</x:v>
      </x:c>
      <x:c r="H40" s="43" t="n">
        <x:f>D40*(1+'Monthly'!D41)</x:f>
        <x:v>41146.240898821656</x:v>
      </x:c>
      <x:c r="I40" s="43" t="n">
        <x:f>E40*(1+'Monthly'!E41)</x:f>
        <x:v>20261.252692524744</x:v>
      </x:c>
      <x:c r="J40" s="43" t="n">
        <x:f>F40*(1+'Monthly'!F41)</x:f>
        <x:v>30874.221203643494</x:v>
      </x:c>
      <x:c r="K40" s="43" t="n">
        <x:f>G40*(1+'Monthly'!G41)</x:f>
        <x:v>10395.254652769137</x:v>
      </x:c>
      <x:c r="L40" s="44" t="n">
        <x:f>SUM(H40:K40)</x:f>
        <x:v>102676.96944775904</x:v>
      </x:c>
      <x:c r="M40" s="43" t="n">
        <x:f>IF(MOD(ROW()-8,'Allocation'!$G$17)=0,U39*'Allocation'!$H$8,Q39)</x:f>
        <x:v>65850.77716938766</x:v>
      </x:c>
      <x:c r="N40" s="43" t="n">
        <x:f>IF(MOD(ROW()-8,'Allocation'!$G$17)=0,U39*'Allocation'!$H$9,R39)</x:f>
        <x:v>0</x:v>
      </x:c>
      <x:c r="O40" s="43" t="n">
        <x:f>IF(MOD(ROW()-8,'Allocation'!$G$17)=0,U39*'Allocation'!$H$10,S39)</x:f>
        <x:v>42912.44176564882</x:v>
      </x:c>
      <x:c r="P40" s="43" t="n">
        <x:f>IF(MOD(ROW()-8,'Allocation'!$G$17)=0,U39*'Allocation'!$H$11,T39)</x:f>
        <x:v>0</x:v>
      </x:c>
      <x:c r="Q40" s="43" t="n">
        <x:f>M40*(1+'Monthly'!D41)</x:f>
        <x:v>62710.58737643851</x:v>
      </x:c>
      <x:c r="R40" s="43" t="n">
        <x:f>N40*(1+'Monthly'!E41)</x:f>
        <x:v>0</x:v>
      </x:c>
      <x:c r="S40" s="43" t="n">
        <x:f>O40*(1+'Monthly'!F41)</x:f>
        <x:v>41826.756988977904</x:v>
      </x:c>
      <x:c r="T40" s="43" t="n">
        <x:f>P40*(1+'Monthly'!G41)</x:f>
        <x:v>0</x:v>
      </x:c>
      <x:c r="U40" s="44" t="n">
        <x:f>SUM(Q40:T40)</x:f>
        <x:v>104537.34436541641</x:v>
      </x:c>
      <x:c r="V40" s="21" t="n">
        <x:f>L40/SUM(D40:G40)-1</x:f>
        <x:v>-0.03790942964665123</x:v>
      </x:c>
      <x:c r="W40" s="21" t="n">
        <x:f>U40/SUM(M40:P40)-1</x:f>
        <x:v>-0.03885389390823524</x:v>
      </x:c>
      <x:c r="X40" s="44" t="n">
        <x:f>H40-D40</x:f>
        <x:v>-2060.3698848027707</x:v>
      </x:c>
      <x:c r="Y40" s="44" t="n">
        <x:f>I40-E40</x:f>
        <x:v>-782.8402577502275</x:v>
      </x:c>
      <x:c r="Z40" s="44" t="n">
        <x:f>J40-F40</x:f>
        <x:v>-801.393040373634</x:v>
      </x:c>
      <x:c r="AA40" s="44" t="n">
        <x:f>K40-G40</x:f>
        <x:v>-401.196110357796</x:v>
      </x:c>
      <x:c r="AB40" s="44" t="n">
        <x:f>(ABS(D40-H39)+ABS(E40-I39)+ABS(F40-J39)+ABS(G40-K39))/2</x:f>
        <x:v>0</x:v>
      </x:c>
    </x:row>
    <x:row r="41" ht="22" customHeight="1">
      <x:c r="A41" s="2"/>
      <x:c r="B41" s="2"/>
      <x:c r="C41" s="42" t="n">
        <x:f>'Monthly'!C42</x:f>
        <x:v>45230</x:v>
      </x:c>
      <x:c r="D41" s="43" t="n">
        <x:f>IF(MOD(ROW()-8,'Allocation'!$G$17)=0,L40*'Allocation'!$G$8,H40)</x:f>
        <x:v>41070.787779103615</x:v>
      </x:c>
      <x:c r="E41" s="43" t="n">
        <x:f>IF(MOD(ROW()-8,'Allocation'!$G$17)=0,L40*'Allocation'!$G$9,I40)</x:f>
        <x:v>20535.393889551808</x:v>
      </x:c>
      <x:c r="F41" s="43" t="n">
        <x:f>IF(MOD(ROW()-8,'Allocation'!$G$17)=0,L40*'Allocation'!$G$10,J40)</x:f>
        <x:v>30803.09083432771</x:v>
      </x:c>
      <x:c r="G41" s="43" t="n">
        <x:f>IF(MOD(ROW()-8,'Allocation'!$G$17)=0,L40*'Allocation'!$G$11,K40)</x:f>
        <x:v>10267.696944775904</x:v>
      </x:c>
      <x:c r="H41" s="43" t="n">
        <x:f>D41*(1+'Monthly'!D42)</x:f>
        <x:v>40206.59844088112</x:v>
      </x:c>
      <x:c r="I41" s="43" t="n">
        <x:f>E41*(1+'Monthly'!E42)</x:f>
        <x:v>19853.61881241869</x:v>
      </x:c>
      <x:c r="J41" s="43" t="n">
        <x:f>F41*(1+'Monthly'!F42)</x:f>
        <x:v>30319.482308228766</x:v>
      </x:c>
      <x:c r="K41" s="43" t="n">
        <x:f>G41*(1+'Monthly'!G42)</x:f>
        <x:v>10959.226334006562</x:v>
      </x:c>
      <x:c r="L41" s="44" t="n">
        <x:f>SUM(H41:K41)</x:f>
        <x:v>101338.92589553513</x:v>
      </x:c>
      <x:c r="M41" s="43" t="n">
        <x:f>IF(MOD(ROW()-8,'Allocation'!$G$17)=0,U40*'Allocation'!$H$8,Q40)</x:f>
        <x:v>62722.40661924984</x:v>
      </x:c>
      <x:c r="N41" s="43" t="n">
        <x:f>IF(MOD(ROW()-8,'Allocation'!$G$17)=0,U40*'Allocation'!$H$9,R40)</x:f>
        <x:v>0</x:v>
      </x:c>
      <x:c r="O41" s="43" t="n">
        <x:f>IF(MOD(ROW()-8,'Allocation'!$G$17)=0,U40*'Allocation'!$H$10,S40)</x:f>
        <x:v>41814.93774616657</x:v>
      </x:c>
      <x:c r="P41" s="43" t="n">
        <x:f>IF(MOD(ROW()-8,'Allocation'!$G$17)=0,U40*'Allocation'!$H$11,T40)</x:f>
        <x:v>0</x:v>
      </x:c>
      <x:c r="Q41" s="43" t="n">
        <x:f>M41*(1+'Monthly'!D42)</x:f>
        <x:v>61402.63560926716</x:v>
      </x:c>
      <x:c r="R41" s="43" t="n">
        <x:f>N41*(1+'Monthly'!E42)</x:f>
        <x:v>0</x:v>
      </x:c>
      <x:c r="S41" s="43" t="n">
        <x:f>O41*(1+'Monthly'!F42)</x:f>
        <x:v>41158.44322355175</x:v>
      </x:c>
      <x:c r="T41" s="43" t="n">
        <x:f>P41*(1+'Monthly'!G42)</x:f>
        <x:v>0</x:v>
      </x:c>
      <x:c r="U41" s="44" t="n">
        <x:f>SUM(Q41:T41)</x:f>
        <x:v>102561.07883281892</x:v>
      </x:c>
      <x:c r="V41" s="21" t="n">
        <x:f>L41/SUM(D41:G41)-1</x:f>
        <x:v>-0.01303158400000004</x:v>
      </x:c>
      <x:c r="W41" s="21" t="n">
        <x:f>U41/SUM(M41:P41)-1</x:f>
        <x:v>-0.018904876000000015</x:v>
      </x:c>
      <x:c r="X41" s="44" t="n">
        <x:f>H41-D41</x:f>
        <x:v>-864.1893382224953</x:v>
      </x:c>
      <x:c r="Y41" s="44" t="n">
        <x:f>I41-E41</x:f>
        <x:v>-681.7750771331193</x:v>
      </x:c>
      <x:c r="Z41" s="44" t="n">
        <x:f>J41-F41</x:f>
        <x:v>-483.60852609894573</x:v>
      </x:c>
      <x:c r="AA41" s="44" t="n">
        <x:f>K41-G41</x:f>
        <x:v>691.5293892306581</x:v>
      </x:c>
      <x:c r="AB41" s="44" t="n">
        <x:f>(ABS(D41-H40)+ABS(E41-I40)+ABS(F41-J40)+ABS(G41-K40))/2</x:f>
        <x:v>274.1411970270601</x:v>
      </x:c>
    </x:row>
    <x:row r="42" ht="22" customHeight="1">
      <x:c r="A42" s="2"/>
      <x:c r="B42" s="2"/>
      <x:c r="C42" s="42" t="n">
        <x:f>'Monthly'!C43</x:f>
        <x:v>45260</x:v>
      </x:c>
      <x:c r="D42" s="43" t="n">
        <x:f>IF(MOD(ROW()-8,'Allocation'!$G$17)=0,L41*'Allocation'!$G$8,H41)</x:f>
        <x:v>40206.59844088112</x:v>
      </x:c>
      <x:c r="E42" s="43" t="n">
        <x:f>IF(MOD(ROW()-8,'Allocation'!$G$17)=0,L41*'Allocation'!$G$9,I41)</x:f>
        <x:v>19853.61881241869</x:v>
      </x:c>
      <x:c r="F42" s="43" t="n">
        <x:f>IF(MOD(ROW()-8,'Allocation'!$G$17)=0,L41*'Allocation'!$G$10,J41)</x:f>
        <x:v>30319.482308228766</x:v>
      </x:c>
      <x:c r="G42" s="43" t="n">
        <x:f>IF(MOD(ROW()-8,'Allocation'!$G$17)=0,L41*'Allocation'!$G$11,K41)</x:f>
        <x:v>10959.226334006562</x:v>
      </x:c>
      <x:c r="H42" s="43" t="n">
        <x:f>D42*(1+'Monthly'!D43)</x:f>
        <x:v>43877.70131399224</x:v>
      </x:c>
      <x:c r="I42" s="43" t="n">
        <x:f>E42*(1+'Monthly'!E43)</x:f>
        <x:v>21568.971477811665</x:v>
      </x:c>
      <x:c r="J42" s="43" t="n">
        <x:f>F42*(1+'Monthly'!F43)</x:f>
        <x:v>31686.89096032988</x:v>
      </x:c>
      <x:c r="K42" s="43" t="n">
        <x:f>G42*(1+'Monthly'!G43)</x:f>
        <x:v>11168.547556986086</x:v>
      </x:c>
      <x:c r="L42" s="44" t="n">
        <x:f>SUM(H42:K42)</x:f>
        <x:v>108302.11130911988</x:v>
      </x:c>
      <x:c r="M42" s="43" t="n">
        <x:f>IF(MOD(ROW()-8,'Allocation'!$G$17)=0,U41*'Allocation'!$H$8,Q41)</x:f>
        <x:v>61402.63560926716</x:v>
      </x:c>
      <x:c r="N42" s="43" t="n">
        <x:f>IF(MOD(ROW()-8,'Allocation'!$G$17)=0,U41*'Allocation'!$H$9,R41)</x:f>
        <x:v>0</x:v>
      </x:c>
      <x:c r="O42" s="43" t="n">
        <x:f>IF(MOD(ROW()-8,'Allocation'!$G$17)=0,U41*'Allocation'!$H$10,S41)</x:f>
        <x:v>41158.44322355175</x:v>
      </x:c>
      <x:c r="P42" s="43" t="n">
        <x:f>IF(MOD(ROW()-8,'Allocation'!$G$17)=0,U41*'Allocation'!$H$11,T41)</x:f>
        <x:v>0</x:v>
      </x:c>
      <x:c r="Q42" s="43" t="n">
        <x:f>M42*(1+'Monthly'!D43)</x:f>
        <x:v>67009.0634281542</x:v>
      </x:c>
      <x:c r="R42" s="43" t="n">
        <x:f>N42*(1+'Monthly'!E43)</x:f>
        <x:v>0</x:v>
      </x:c>
      <x:c r="S42" s="43" t="n">
        <x:f>O42*(1+'Monthly'!F43)</x:f>
        <x:v>43014.68901293393</x:v>
      </x:c>
      <x:c r="T42" s="43" t="n">
        <x:f>P42*(1+'Monthly'!G43)</x:f>
        <x:v>0</x:v>
      </x:c>
      <x:c r="U42" s="44" t="n">
        <x:f>SUM(Q42:T42)</x:f>
        <x:v>110023.75244108813</x:v>
      </x:c>
      <x:c r="V42" s="21" t="n">
        <x:f>L42/SUM(D42:G42)-1</x:f>
        <x:v>0.06871185333820029</x:v>
      </x:c>
      <x:c r="W42" s="21" t="n">
        <x:f>U42/SUM(M42:P42)-1</x:f>
        <x:v>0.07276321284055376</x:v>
      </x:c>
      <x:c r="X42" s="44" t="n">
        <x:f>H42-D42</x:f>
        <x:v>3671.102873111122</x:v>
      </x:c>
      <x:c r="Y42" s="44" t="n">
        <x:f>I42-E42</x:f>
        <x:v>1715.3526653929766</x:v>
      </x:c>
      <x:c r="Z42" s="44" t="n">
        <x:f>J42-F42</x:f>
        <x:v>1367.4086521011159</x:v>
      </x:c>
      <x:c r="AA42" s="44" t="n">
        <x:f>K42-G42</x:f>
        <x:v>209.32122297952446</x:v>
      </x:c>
      <x:c r="AB42" s="44" t="n">
        <x:f>(ABS(D42-H41)+ABS(E42-I41)+ABS(F42-J41)+ABS(G42-K41))/2</x:f>
        <x:v>0</x:v>
      </x:c>
    </x:row>
    <x:row r="43" ht="22" customHeight="1">
      <x:c r="A43" s="2"/>
      <x:c r="B43" s="2"/>
      <x:c r="C43" s="42" t="n">
        <x:f>'Monthly'!C44</x:f>
        <x:v>45291</x:v>
      </x:c>
      <x:c r="D43" s="43" t="n">
        <x:f>IF(MOD(ROW()-8,'Allocation'!$G$17)=0,L42*'Allocation'!$G$8,H42)</x:f>
        <x:v>43877.70131399224</x:v>
      </x:c>
      <x:c r="E43" s="43" t="n">
        <x:f>IF(MOD(ROW()-8,'Allocation'!$G$17)=0,L42*'Allocation'!$G$9,I42)</x:f>
        <x:v>21568.971477811665</x:v>
      </x:c>
      <x:c r="F43" s="43" t="n">
        <x:f>IF(MOD(ROW()-8,'Allocation'!$G$17)=0,L42*'Allocation'!$G$10,J42)</x:f>
        <x:v>31686.89096032988</x:v>
      </x:c>
      <x:c r="G43" s="43" t="n">
        <x:f>IF(MOD(ROW()-8,'Allocation'!$G$17)=0,L42*'Allocation'!$G$11,K42)</x:f>
        <x:v>11168.547556986086</x:v>
      </x:c>
      <x:c r="H43" s="43" t="n">
        <x:f>D43*(1+'Monthly'!D44)</x:f>
        <x:v>45870.05697511072</x:v>
      </x:c>
      <x:c r="I43" s="43" t="n">
        <x:f>E43*(1+'Monthly'!E44)</x:f>
        <x:v>22783.30457201246</x:v>
      </x:c>
      <x:c r="J43" s="43" t="n">
        <x:f>F43*(1+'Monthly'!F44)</x:f>
        <x:v>32862.47461495812</x:v>
      </x:c>
      <x:c r="K43" s="43" t="n">
        <x:f>G43*(1+'Monthly'!G44)</x:f>
        <x:v>11314.185417129185</x:v>
      </x:c>
      <x:c r="L43" s="44" t="n">
        <x:f>SUM(H43:K43)</x:f>
        <x:v>112830.02157921047</x:v>
      </x:c>
      <x:c r="M43" s="43" t="n">
        <x:f>IF(MOD(ROW()-8,'Allocation'!$G$17)=0,U42*'Allocation'!$H$8,Q42)</x:f>
        <x:v>67009.0634281542</x:v>
      </x:c>
      <x:c r="N43" s="43" t="n">
        <x:f>IF(MOD(ROW()-8,'Allocation'!$G$17)=0,U42*'Allocation'!$H$9,R42)</x:f>
        <x:v>0</x:v>
      </x:c>
      <x:c r="O43" s="43" t="n">
        <x:f>IF(MOD(ROW()-8,'Allocation'!$G$17)=0,U42*'Allocation'!$H$10,S42)</x:f>
        <x:v>43014.68901293393</x:v>
      </x:c>
      <x:c r="P43" s="43" t="n">
        <x:f>IF(MOD(ROW()-8,'Allocation'!$G$17)=0,U42*'Allocation'!$H$11,T42)</x:f>
        <x:v>0</x:v>
      </x:c>
      <x:c r="Q43" s="43" t="n">
        <x:f>M43*(1+'Monthly'!D44)</x:f>
        <x:v>70051.74531141768</x:v>
      </x:c>
      <x:c r="R43" s="43" t="n">
        <x:f>N43*(1+'Monthly'!E44)</x:f>
        <x:v>0</x:v>
      </x:c>
      <x:c r="S43" s="43" t="n">
        <x:f>O43*(1+'Monthly'!F44)</x:f>
        <x:v>44610.533975313774</x:v>
      </x:c>
      <x:c r="T43" s="43" t="n">
        <x:f>P43*(1+'Monthly'!G44)</x:f>
        <x:v>0</x:v>
      </x:c>
      <x:c r="U43" s="44" t="n">
        <x:f>SUM(Q43:T43)</x:f>
        <x:v>114662.27928673144</x:v>
      </x:c>
      <x:c r="V43" s="21" t="n">
        <x:f>L43/SUM(D43:G43)-1</x:f>
        <x:v>0.04180814404593525</x:v>
      </x:c>
      <x:c r="W43" s="21" t="n">
        <x:f>U43/SUM(M43:P43)-1</x:f>
        <x:v>0.042159322352934625</x:v>
      </x:c>
      <x:c r="X43" s="44" t="n">
        <x:f>H43-D43</x:f>
        <x:v>1992.3556611184758</x:v>
      </x:c>
      <x:c r="Y43" s="44" t="n">
        <x:f>I43-E43</x:f>
        <x:v>1214.333094200796</x:v>
      </x:c>
      <x:c r="Z43" s="44" t="n">
        <x:f>J43-F43</x:f>
        <x:v>1175.5836546282371</x:v>
      </x:c>
      <x:c r="AA43" s="44" t="n">
        <x:f>K43-G43</x:f>
        <x:v>145.6378601430988</x:v>
      </x:c>
      <x:c r="AB43" s="44" t="n">
        <x:f>(ABS(D43-H42)+ABS(E43-I42)+ABS(F43-J42)+ABS(G43-K42))/2</x:f>
        <x:v>0</x:v>
      </x:c>
    </x:row>
    <x:row r="44" ht="22" customHeight="1">
      <x:c r="A44" s="2"/>
      <x:c r="B44" s="2"/>
      <x:c r="C44" s="42" t="n">
        <x:f>'Monthly'!C45</x:f>
        <x:v>45322</x:v>
      </x:c>
      <x:c r="D44" s="43" t="n">
        <x:f>IF(MOD(ROW()-8,'Allocation'!$G$17)=0,L43*'Allocation'!$G$8,H43)</x:f>
        <x:v>45132.00863168419</x:v>
      </x:c>
      <x:c r="E44" s="43" t="n">
        <x:f>IF(MOD(ROW()-8,'Allocation'!$G$17)=0,L43*'Allocation'!$G$9,I43)</x:f>
        <x:v>22566.004315842096</x:v>
      </x:c>
      <x:c r="F44" s="43" t="n">
        <x:f>IF(MOD(ROW()-8,'Allocation'!$G$17)=0,L43*'Allocation'!$G$10,J43)</x:f>
        <x:v>33849.00647376314</x:v>
      </x:c>
      <x:c r="G44" s="43" t="n">
        <x:f>IF(MOD(ROW()-8,'Allocation'!$G$17)=0,L43*'Allocation'!$G$11,K43)</x:f>
        <x:v>11283.002157921048</x:v>
      </x:c>
      <x:c r="H44" s="43" t="n">
        <x:f>D44*(1+'Monthly'!D45)</x:f>
        <x:v>45889.29440071824</x:v>
      </x:c>
      <x:c r="I44" s="43" t="n">
        <x:f>E44*(1+'Monthly'!E45)</x:f>
        <x:v>22394.502683041694</x:v>
      </x:c>
      <x:c r="J44" s="43" t="n">
        <x:f>F44*(1+'Monthly'!F45)</x:f>
        <x:v>33791.46316275774</x:v>
      </x:c>
      <x:c r="K44" s="43" t="n">
        <x:f>G44*(1+'Monthly'!G45)</x:f>
        <x:v>11230.423367865136</x:v>
      </x:c>
      <x:c r="L44" s="44" t="n">
        <x:f>SUM(H44:K44)</x:f>
        <x:v>113305.6836143828</x:v>
      </x:c>
      <x:c r="M44" s="43" t="n">
        <x:f>IF(MOD(ROW()-8,'Allocation'!$G$17)=0,U43*'Allocation'!$H$8,Q43)</x:f>
        <x:v>68797.36757203886</x:v>
      </x:c>
      <x:c r="N44" s="43" t="n">
        <x:f>IF(MOD(ROW()-8,'Allocation'!$G$17)=0,U43*'Allocation'!$H$9,R43)</x:f>
        <x:v>0</x:v>
      </x:c>
      <x:c r="O44" s="43" t="n">
        <x:f>IF(MOD(ROW()-8,'Allocation'!$G$17)=0,U43*'Allocation'!$H$10,S43)</x:f>
        <x:v>45864.91171469258</x:v>
      </x:c>
      <x:c r="P44" s="43" t="n">
        <x:f>IF(MOD(ROW()-8,'Allocation'!$G$17)=0,U43*'Allocation'!$H$11,T43)</x:f>
        <x:v>0</x:v>
      </x:c>
      <x:c r="Q44" s="43" t="n">
        <x:f>M44*(1+'Monthly'!D45)</x:f>
        <x:v>69951.74268160874</x:v>
      </x:c>
      <x:c r="R44" s="43" t="n">
        <x:f>N44*(1+'Monthly'!E45)</x:f>
        <x:v>0</x:v>
      </x:c>
      <x:c r="S44" s="43" t="n">
        <x:f>O44*(1+'Monthly'!F45)</x:f>
        <x:v>45786.9413647776</x:v>
      </x:c>
      <x:c r="T44" s="43" t="n">
        <x:f>P44*(1+'Monthly'!G45)</x:f>
        <x:v>0</x:v>
      </x:c>
      <x:c r="U44" s="44" t="n">
        <x:f>SUM(Q44:T44)</x:f>
        <x:v>115738.68404638633</x:v>
      </x:c>
      <x:c r="V44" s="21" t="n">
        <x:f>L44/SUM(D44:G44)-1</x:f>
        <x:v>0.004215739999999801</x:v>
      </x:c>
      <x:c r="W44" s="21" t="n">
        <x:f>U44/SUM(M44:P44)-1</x:f>
        <x:v>0.00938760999999988</x:v>
      </x:c>
      <x:c r="X44" s="44" t="n">
        <x:f>H44-D44</x:f>
        <x:v>757.2857690340461</x:v>
      </x:c>
      <x:c r="Y44" s="44" t="n">
        <x:f>I44-E44</x:f>
        <x:v>-171.50163280040215</x:v>
      </x:c>
      <x:c r="Z44" s="44" t="n">
        <x:f>J44-F44</x:f>
        <x:v>-57.54331100540003</x:v>
      </x:c>
      <x:c r="AA44" s="44" t="n">
        <x:f>K44-G44</x:f>
        <x:v>-52.57879005591167</x:v>
      </x:c>
      <x:c r="AB44" s="44" t="n">
        <x:f>(ABS(D44-H43)+ABS(E44-I43)+ABS(F44-J43)+ABS(G44-K43))/2</x:f>
        <x:v>986.531858805025</x:v>
      </x:c>
    </x:row>
    <x:row r="45" ht="22" customHeight="1">
      <x:c r="A45" s="2"/>
      <x:c r="B45" s="2"/>
      <x:c r="C45" s="42" t="n">
        <x:f>'Monthly'!C46</x:f>
        <x:v>45351</x:v>
      </x:c>
      <x:c r="D45" s="43" t="n">
        <x:f>IF(MOD(ROW()-8,'Allocation'!$G$17)=0,L44*'Allocation'!$G$8,H44)</x:f>
        <x:v>45889.29440071824</x:v>
      </x:c>
      <x:c r="E45" s="43" t="n">
        <x:f>IF(MOD(ROW()-8,'Allocation'!$G$17)=0,L44*'Allocation'!$G$9,I44)</x:f>
        <x:v>22394.502683041694</x:v>
      </x:c>
      <x:c r="F45" s="43" t="n">
        <x:f>IF(MOD(ROW()-8,'Allocation'!$G$17)=0,L44*'Allocation'!$G$10,J44)</x:f>
        <x:v>33791.46316275774</x:v>
      </x:c>
      <x:c r="G45" s="43" t="n">
        <x:f>IF(MOD(ROW()-8,'Allocation'!$G$17)=0,L44*'Allocation'!$G$11,K44)</x:f>
        <x:v>11230.423367865136</x:v>
      </x:c>
      <x:c r="H45" s="43" t="n">
        <x:f>D45*(1+'Monthly'!D46)</x:f>
        <x:v>48337.44328548804</x:v>
      </x:c>
      <x:c r="I45" s="43" t="n">
        <x:f>E45*(1+'Monthly'!E46)</x:f>
        <x:v>23008.112056557038</x:v>
      </x:c>
      <x:c r="J45" s="43" t="n">
        <x:f>F45*(1+'Monthly'!F46)</x:f>
        <x:v>33315.00353216285</x:v>
      </x:c>
      <x:c r="K45" s="43" t="n">
        <x:f>G45*(1+'Monthly'!G46)</x:f>
        <x:v>11199.764312070864</x:v>
      </x:c>
      <x:c r="L45" s="44" t="n">
        <x:f>SUM(H45:K45)</x:f>
        <x:v>115860.32318627881</x:v>
      </x:c>
      <x:c r="M45" s="43" t="n">
        <x:f>IF(MOD(ROW()-8,'Allocation'!$G$17)=0,U44*'Allocation'!$H$8,Q44)</x:f>
        <x:v>69951.74268160874</x:v>
      </x:c>
      <x:c r="N45" s="43" t="n">
        <x:f>IF(MOD(ROW()-8,'Allocation'!$G$17)=0,U44*'Allocation'!$H$9,R44)</x:f>
        <x:v>0</x:v>
      </x:c>
      <x:c r="O45" s="43" t="n">
        <x:f>IF(MOD(ROW()-8,'Allocation'!$G$17)=0,U44*'Allocation'!$H$10,S44)</x:f>
        <x:v>45786.9413647776</x:v>
      </x:c>
      <x:c r="P45" s="43" t="n">
        <x:f>IF(MOD(ROW()-8,'Allocation'!$G$17)=0,U44*'Allocation'!$H$11,T44)</x:f>
        <x:v>0</x:v>
      </x:c>
      <x:c r="Q45" s="43" t="n">
        <x:f>M45*(1+'Monthly'!D46)</x:f>
        <x:v>73683.59960096474</x:v>
      </x:c>
      <x:c r="R45" s="43" t="n">
        <x:f>N45*(1+'Monthly'!E46)</x:f>
        <x:v>0</x:v>
      </x:c>
      <x:c r="S45" s="43" t="n">
        <x:f>O45*(1+'Monthly'!F46)</x:f>
        <x:v>45141.34549153424</x:v>
      </x:c>
      <x:c r="T45" s="43" t="n">
        <x:f>P45*(1+'Monthly'!G46)</x:f>
        <x:v>0</x:v>
      </x:c>
      <x:c r="U45" s="44" t="n">
        <x:f>SUM(Q45:T45)</x:f>
        <x:v>118824.94509249897</x:v>
      </x:c>
      <x:c r="V45" s="21" t="n">
        <x:f>L45/SUM(D45:G45)-1</x:f>
        <x:v>0.022546438010914827</x:v>
      </x:c>
      <x:c r="W45" s="21" t="n">
        <x:f>U45/SUM(M45:P45)-1</x:f>
        <x:v>0.026665769284845986</x:v>
      </x:c>
      <x:c r="X45" s="44" t="n">
        <x:f>H45-D45</x:f>
        <x:v>2448.1488847698056</x:v>
      </x:c>
      <x:c r="Y45" s="44" t="n">
        <x:f>I45-E45</x:f>
        <x:v>613.6093735153445</x:v>
      </x:c>
      <x:c r="Z45" s="44" t="n">
        <x:f>J45-F45</x:f>
        <x:v>-476.45963059488713</x:v>
      </x:c>
      <x:c r="AA45" s="44" t="n">
        <x:f>K45-G45</x:f>
        <x:v>-30.659055794272717</x:v>
      </x:c>
      <x:c r="AB45" s="44" t="n">
        <x:f>(ABS(D45-H44)+ABS(E45-I44)+ABS(F45-J44)+ABS(G45-K44))/2</x:f>
        <x:v>0</x:v>
      </x:c>
    </x:row>
    <x:row r="46" ht="22" customHeight="1">
      <x:c r="A46" s="2"/>
      <x:c r="B46" s="2"/>
      <x:c r="C46" s="42" t="n">
        <x:f>'Monthly'!C47</x:f>
        <x:v>45382</x:v>
      </x:c>
      <x:c r="D46" s="43" t="n">
        <x:f>IF(MOD(ROW()-8,'Allocation'!$G$17)=0,L45*'Allocation'!$G$8,H45)</x:f>
        <x:v>48337.44328548804</x:v>
      </x:c>
      <x:c r="E46" s="43" t="n">
        <x:f>IF(MOD(ROW()-8,'Allocation'!$G$17)=0,L45*'Allocation'!$G$9,I45)</x:f>
        <x:v>23008.112056557038</x:v>
      </x:c>
      <x:c r="F46" s="43" t="n">
        <x:f>IF(MOD(ROW()-8,'Allocation'!$G$17)=0,L45*'Allocation'!$G$10,J45)</x:f>
        <x:v>33315.00353216285</x:v>
      </x:c>
      <x:c r="G46" s="43" t="n">
        <x:f>IF(MOD(ROW()-8,'Allocation'!$G$17)=0,L45*'Allocation'!$G$11,K45)</x:f>
        <x:v>11199.764312070864</x:v>
      </x:c>
      <x:c r="H46" s="43" t="n">
        <x:f>D46*(1+'Monthly'!D47)</x:f>
        <x:v>49892.20844802597</x:v>
      </x:c>
      <x:c r="I46" s="43" t="n">
        <x:f>E46*(1+'Monthly'!E47)</x:f>
        <x:v>23771.98137683473</x:v>
      </x:c>
      <x:c r="J46" s="43" t="n">
        <x:f>F46*(1+'Monthly'!F47)</x:f>
        <x:v>33594.84956183302</x:v>
      </x:c>
      <x:c r="K46" s="43" t="n">
        <x:f>G46*(1+'Monthly'!G47)</x:f>
        <x:v>12106.945221348604</x:v>
      </x:c>
      <x:c r="L46" s="44" t="n">
        <x:f>SUM(H46:K46)</x:f>
        <x:v>119365.98460804233</x:v>
      </x:c>
      <x:c r="M46" s="43" t="n">
        <x:f>IF(MOD(ROW()-8,'Allocation'!$G$17)=0,U45*'Allocation'!$H$8,Q45)</x:f>
        <x:v>73683.59960096474</x:v>
      </x:c>
      <x:c r="N46" s="43" t="n">
        <x:f>IF(MOD(ROW()-8,'Allocation'!$G$17)=0,U45*'Allocation'!$H$9,R45)</x:f>
        <x:v>0</x:v>
      </x:c>
      <x:c r="O46" s="43" t="n">
        <x:f>IF(MOD(ROW()-8,'Allocation'!$G$17)=0,U45*'Allocation'!$H$10,S45)</x:f>
        <x:v>45141.34549153424</x:v>
      </x:c>
      <x:c r="P46" s="43" t="n">
        <x:f>IF(MOD(ROW()-8,'Allocation'!$G$17)=0,U45*'Allocation'!$H$11,T45)</x:f>
        <x:v>0</x:v>
      </x:c>
      <x:c r="Q46" s="43" t="n">
        <x:f>M46*(1+'Monthly'!D47)</x:f>
        <x:v>76053.61931908183</x:v>
      </x:c>
      <x:c r="R46" s="43" t="n">
        <x:f>N46*(1+'Monthly'!E47)</x:f>
        <x:v>0</x:v>
      </x:c>
      <x:c r="S46" s="43" t="n">
        <x:f>O46*(1+'Monthly'!F47)</x:f>
        <x:v>45520.53279366312</x:v>
      </x:c>
      <x:c r="T46" s="43" t="n">
        <x:f>P46*(1+'Monthly'!G47)</x:f>
        <x:v>0</x:v>
      </x:c>
      <x:c r="U46" s="44" t="n">
        <x:f>SUM(Q46:T46)</x:f>
        <x:v>121574.15211274495</x:v>
      </x:c>
      <x:c r="V46" s="21" t="n">
        <x:f>L46/SUM(D46:G46)-1</x:f>
        <x:v>0.030257652709350324</x:v>
      </x:c>
      <x:c r="W46" s="21" t="n">
        <x:f>U46/SUM(M46:P46)-1</x:f>
        <x:v>0.02313661511146403</x:v>
      </x:c>
      <x:c r="X46" s="44" t="n">
        <x:f>H46-D46</x:f>
        <x:v>1554.7651625379294</x:v>
      </x:c>
      <x:c r="Y46" s="44" t="n">
        <x:f>I46-E46</x:f>
        <x:v>763.8693202776922</x:v>
      </x:c>
      <x:c r="Z46" s="44" t="n">
        <x:f>J46-F46</x:f>
        <x:v>279.8460296701669</x:v>
      </x:c>
      <x:c r="AA46" s="44" t="n">
        <x:f>K46-G46</x:f>
        <x:v>907.1809092777403</x:v>
      </x:c>
      <x:c r="AB46" s="44" t="n">
        <x:f>(ABS(D46-H45)+ABS(E46-I45)+ABS(F46-J45)+ABS(G46-K45))/2</x:f>
        <x:v>0</x:v>
      </x:c>
    </x:row>
    <x:row r="47" ht="22" customHeight="1">
      <x:c r="A47" s="2"/>
      <x:c r="B47" s="2"/>
      <x:c r="C47" s="42" t="n">
        <x:f>'Monthly'!C48</x:f>
        <x:v>45412</x:v>
      </x:c>
      <x:c r="D47" s="43" t="n">
        <x:f>IF(MOD(ROW()-8,'Allocation'!$G$17)=0,L46*'Allocation'!$G$8,H46)</x:f>
        <x:v>47746.39384321694</x:v>
      </x:c>
      <x:c r="E47" s="43" t="n">
        <x:f>IF(MOD(ROW()-8,'Allocation'!$G$17)=0,L46*'Allocation'!$G$9,I46)</x:f>
        <x:v>23873.19692160847</x:v>
      </x:c>
      <x:c r="F47" s="43" t="n">
        <x:f>IF(MOD(ROW()-8,'Allocation'!$G$17)=0,L46*'Allocation'!$G$10,J46)</x:f>
        <x:v>35809.795382412696</x:v>
      </x:c>
      <x:c r="G47" s="43" t="n">
        <x:f>IF(MOD(ROW()-8,'Allocation'!$G$17)=0,L46*'Allocation'!$G$11,K46)</x:f>
        <x:v>11936.598460804234</x:v>
      </x:c>
      <x:c r="H47" s="43" t="n">
        <x:f>D47*(1+'Monthly'!D48)</x:f>
        <x:v>45795.94935754608</x:v>
      </x:c>
      <x:c r="I47" s="43" t="n">
        <x:f>E47*(1+'Monthly'!E48)</x:f>
        <x:v>23106.867300424838</x:v>
      </x:c>
      <x:c r="J47" s="43" t="n">
        <x:f>F47*(1+'Monthly'!F48)</x:f>
        <x:v>34936.03637508183</x:v>
      </x:c>
      <x:c r="K47" s="43" t="n">
        <x:f>G47*(1+'Monthly'!G48)</x:f>
        <x:v>12433.280322758297</x:v>
      </x:c>
      <x:c r="L47" s="44" t="n">
        <x:f>SUM(H47:K47)</x:f>
        <x:v>116272.13335581105</x:v>
      </x:c>
      <x:c r="M47" s="43" t="n">
        <x:f>IF(MOD(ROW()-8,'Allocation'!$G$17)=0,U46*'Allocation'!$H$8,Q46)</x:f>
        <x:v>72944.49126764697</x:v>
      </x:c>
      <x:c r="N47" s="43" t="n">
        <x:f>IF(MOD(ROW()-8,'Allocation'!$G$17)=0,U46*'Allocation'!$H$9,R46)</x:f>
        <x:v>0</x:v>
      </x:c>
      <x:c r="O47" s="43" t="n">
        <x:f>IF(MOD(ROW()-8,'Allocation'!$G$17)=0,U46*'Allocation'!$H$10,S46)</x:f>
        <x:v>48629.660845097984</x:v>
      </x:c>
      <x:c r="P47" s="43" t="n">
        <x:f>IF(MOD(ROW()-8,'Allocation'!$G$17)=0,U46*'Allocation'!$H$11,T46)</x:f>
        <x:v>0</x:v>
      </x:c>
      <x:c r="Q47" s="43" t="n">
        <x:f>M47*(1+'Monthly'!D48)</x:f>
        <x:v>69964.70223435939</x:v>
      </x:c>
      <x:c r="R47" s="43" t="n">
        <x:f>N47*(1+'Monthly'!E48)</x:f>
        <x:v>0</x:v>
      </x:c>
      <x:c r="S47" s="43" t="n">
        <x:f>O47*(1+'Monthly'!F48)</x:f>
        <x:v>47443.09712047759</x:v>
      </x:c>
      <x:c r="T47" s="43" t="n">
        <x:f>P47*(1+'Monthly'!G48)</x:f>
        <x:v>0</x:v>
      </x:c>
      <x:c r="U47" s="44" t="n">
        <x:f>SUM(Q47:T47)</x:f>
        <x:v>117407.79935483699</x:v>
      </x:c>
      <x:c r="V47" s="21" t="n">
        <x:f>L47/SUM(D47:G47)-1</x:f>
        <x:v>-0.025919036000000006</x:v>
      </x:c>
      <x:c r="W47" s="21" t="n">
        <x:f>U47/SUM(M47:P47)-1</x:f>
        <x:v>-0.03427005399999983</x:v>
      </x:c>
      <x:c r="X47" s="44" t="n">
        <x:f>H47-D47</x:f>
        <x:v>-1950.4444856708578</x:v>
      </x:c>
      <x:c r="Y47" s="44" t="n">
        <x:f>I47-E47</x:f>
        <x:v>-766.3296211836314</x:v>
      </x:c>
      <x:c r="Z47" s="44" t="n">
        <x:f>J47-F47</x:f>
        <x:v>-873.7590073308675</x:v>
      </x:c>
      <x:c r="AA47" s="44" t="n">
        <x:f>K47-G47</x:f>
        <x:v>496.6818619540627</x:v>
      </x:c>
      <x:c r="AB47" s="44" t="n">
        <x:f>(ABS(D47-H46)+ABS(E47-I46)+ABS(F47-J46)+ABS(G47-K46))/2</x:f>
        <x:v>2316.1613653534096</x:v>
      </x:c>
    </x:row>
    <x:row r="48" ht="22" customHeight="1">
      <x:c r="A48" s="2"/>
      <x:c r="B48" s="2"/>
      <x:c r="C48" s="42" t="n">
        <x:f>'Monthly'!C49</x:f>
        <x:v>45443</x:v>
      </x:c>
      <x:c r="D48" s="43" t="n">
        <x:f>IF(MOD(ROW()-8,'Allocation'!$G$17)=0,L47*'Allocation'!$G$8,H47)</x:f>
        <x:v>45795.94935754608</x:v>
      </x:c>
      <x:c r="E48" s="43" t="n">
        <x:f>IF(MOD(ROW()-8,'Allocation'!$G$17)=0,L47*'Allocation'!$G$9,I47)</x:f>
        <x:v>23106.867300424838</x:v>
      </x:c>
      <x:c r="F48" s="43" t="n">
        <x:f>IF(MOD(ROW()-8,'Allocation'!$G$17)=0,L47*'Allocation'!$G$10,J47)</x:f>
        <x:v>34936.03637508183</x:v>
      </x:c>
      <x:c r="G48" s="43" t="n">
        <x:f>IF(MOD(ROW()-8,'Allocation'!$G$17)=0,L47*'Allocation'!$G$11,K47)</x:f>
        <x:v>12433.280322758297</x:v>
      </x:c>
      <x:c r="H48" s="43" t="n">
        <x:f>D48*(1+'Monthly'!D49)</x:f>
        <x:v>48066.31743594896</x:v>
      </x:c>
      <x:c r="I48" s="43" t="n">
        <x:f>E48*(1+'Monthly'!E49)</x:f>
        <x:v>24322.288520427184</x:v>
      </x:c>
      <x:c r="J48" s="43" t="n">
        <x:f>F48*(1+'Monthly'!F49)</x:f>
        <x:v>35526.45538982071</x:v>
      </x:c>
      <x:c r="K48" s="43" t="n">
        <x:f>G48*(1+'Monthly'!G49)</x:f>
        <x:v>12652.85205325821</x:v>
      </x:c>
      <x:c r="L48" s="44" t="n">
        <x:f>SUM(H48:K48)</x:f>
        <x:v>120567.91339945505</x:v>
      </x:c>
      <x:c r="M48" s="43" t="n">
        <x:f>IF(MOD(ROW()-8,'Allocation'!$G$17)=0,U47*'Allocation'!$H$8,Q47)</x:f>
        <x:v>69964.70223435939</x:v>
      </x:c>
      <x:c r="N48" s="43" t="n">
        <x:f>IF(MOD(ROW()-8,'Allocation'!$G$17)=0,U47*'Allocation'!$H$9,R47)</x:f>
        <x:v>0</x:v>
      </x:c>
      <x:c r="O48" s="43" t="n">
        <x:f>IF(MOD(ROW()-8,'Allocation'!$G$17)=0,U47*'Allocation'!$H$10,S47)</x:f>
        <x:v>47443.09712047759</x:v>
      </x:c>
      <x:c r="P48" s="43" t="n">
        <x:f>IF(MOD(ROW()-8,'Allocation'!$G$17)=0,U47*'Allocation'!$H$11,T47)</x:f>
        <x:v>0</x:v>
      </x:c>
      <x:c r="Q48" s="43" t="n">
        <x:f>M48*(1+'Monthly'!D49)</x:f>
        <x:v>73433.25412150742</x:v>
      </x:c>
      <x:c r="R48" s="43" t="n">
        <x:f>N48*(1+'Monthly'!E49)</x:f>
        <x:v>0</x:v>
      </x:c>
      <x:c r="S48" s="43" t="n">
        <x:f>O48*(1+'Monthly'!F49)</x:f>
        <x:v>48244.88546181366</x:v>
      </x:c>
      <x:c r="T48" s="43" t="n">
        <x:f>P48*(1+'Monthly'!G49)</x:f>
        <x:v>0</x:v>
      </x:c>
      <x:c r="U48" s="44" t="n">
        <x:f>SUM(Q48:T48)</x:f>
        <x:v>121678.13958332108</x:v>
      </x:c>
      <x:c r="V48" s="21" t="n">
        <x:f>L48/SUM(D48:G48)-1</x:f>
        <x:v>0.03694591231501909</x:v>
      </x:c>
      <x:c r="W48" s="21" t="n">
        <x:f>U48/SUM(M48:P48)-1</x:f>
        <x:v>0.03637186159650274</x:v>
      </x:c>
      <x:c r="X48" s="44" t="n">
        <x:f>H48-D48</x:f>
        <x:v>2270.3680784028766</x:v>
      </x:c>
      <x:c r="Y48" s="44" t="n">
        <x:f>I48-E48</x:f>
        <x:v>1215.4212200023467</x:v>
      </x:c>
      <x:c r="Z48" s="44" t="n">
        <x:f>J48-F48</x:f>
        <x:v>590.4190147388799</x:v>
      </x:c>
      <x:c r="AA48" s="44" t="n">
        <x:f>K48-G48</x:f>
        <x:v>219.57173049991252</x:v>
      </x:c>
      <x:c r="AB48" s="44" t="n">
        <x:f>(ABS(D48-H47)+ABS(E48-I47)+ABS(F48-J47)+ABS(G48-K47))/2</x:f>
        <x:v>0</x:v>
      </x:c>
    </x:row>
    <x:row r="49" ht="22" customHeight="1">
      <x:c r="A49" s="2"/>
      <x:c r="B49" s="2"/>
      <x:c r="C49" s="42" t="n">
        <x:f>'Monthly'!C50</x:f>
        <x:v>45473</x:v>
      </x:c>
      <x:c r="D49" s="43" t="n">
        <x:f>IF(MOD(ROW()-8,'Allocation'!$G$17)=0,L48*'Allocation'!$G$8,H48)</x:f>
        <x:v>48066.31743594896</x:v>
      </x:c>
      <x:c r="E49" s="43" t="n">
        <x:f>IF(MOD(ROW()-8,'Allocation'!$G$17)=0,L48*'Allocation'!$G$9,I48)</x:f>
        <x:v>24322.288520427184</x:v>
      </x:c>
      <x:c r="F49" s="43" t="n">
        <x:f>IF(MOD(ROW()-8,'Allocation'!$G$17)=0,L48*'Allocation'!$G$10,J48)</x:f>
        <x:v>35526.45538982071</x:v>
      </x:c>
      <x:c r="G49" s="43" t="n">
        <x:f>IF(MOD(ROW()-8,'Allocation'!$G$17)=0,L48*'Allocation'!$G$11,K48)</x:f>
        <x:v>12652.85205325821</x:v>
      </x:c>
      <x:c r="H49" s="43" t="n">
        <x:f>D49*(1+'Monthly'!D50)</x:f>
        <x:v>49791.28057972047</x:v>
      </x:c>
      <x:c r="I49" s="43" t="n">
        <x:f>E49*(1+'Monthly'!E50)</x:f>
        <x:v>23755.579197901232</x:v>
      </x:c>
      <x:c r="J49" s="43" t="n">
        <x:f>F49*(1+'Monthly'!F50)</x:f>
        <x:v>35856.85142494604</x:v>
      </x:c>
      <x:c r="K49" s="43" t="n">
        <x:f>G49*(1+'Monthly'!G50)</x:f>
        <x:v>12556.943434694513</x:v>
      </x:c>
      <x:c r="L49" s="44" t="n">
        <x:f>SUM(H49:K49)</x:f>
        <x:v>121960.65463726225</x:v>
      </x:c>
      <x:c r="M49" s="43" t="n">
        <x:f>IF(MOD(ROW()-8,'Allocation'!$G$17)=0,U48*'Allocation'!$H$8,Q48)</x:f>
        <x:v>73433.25412150742</x:v>
      </x:c>
      <x:c r="N49" s="43" t="n">
        <x:f>IF(MOD(ROW()-8,'Allocation'!$G$17)=0,U48*'Allocation'!$H$9,R48)</x:f>
        <x:v>0</x:v>
      </x:c>
      <x:c r="O49" s="43" t="n">
        <x:f>IF(MOD(ROW()-8,'Allocation'!$G$17)=0,U48*'Allocation'!$H$10,S48)</x:f>
        <x:v>48244.88546181366</x:v>
      </x:c>
      <x:c r="P49" s="43" t="n">
        <x:f>IF(MOD(ROW()-8,'Allocation'!$G$17)=0,U48*'Allocation'!$H$11,T48)</x:f>
        <x:v>0</x:v>
      </x:c>
      <x:c r="Q49" s="43" t="n">
        <x:f>M49*(1+'Monthly'!D50)</x:f>
        <x:v>76068.56432715408</x:v>
      </x:c>
      <x:c r="R49" s="43" t="n">
        <x:f>N49*(1+'Monthly'!E50)</x:f>
        <x:v>0</x:v>
      </x:c>
      <x:c r="S49" s="43" t="n">
        <x:f>O49*(1+'Monthly'!F50)</x:f>
        <x:v>48693.562896608535</x:v>
      </x:c>
      <x:c r="T49" s="43" t="n">
        <x:f>P49*(1+'Monthly'!G50)</x:f>
        <x:v>0</x:v>
      </x:c>
      <x:c r="U49" s="44" t="n">
        <x:f>SUM(Q49:T49)</x:f>
        <x:v>124762.12722376261</x:v>
      </x:c>
      <x:c r="V49" s="21" t="n">
        <x:f>L49/SUM(D49:G49)-1</x:f>
        <x:v>0.01155150817940176</x:v>
      </x:c>
      <x:c r="W49" s="21" t="n">
        <x:f>U49/SUM(M49:P49)-1</x:f>
        <x:v>0.025345453595875478</x:v>
      </x:c>
      <x:c r="X49" s="44" t="n">
        <x:f>H49-D49</x:f>
        <x:v>1724.9631437715143</x:v>
      </x:c>
      <x:c r="Y49" s="44" t="n">
        <x:f>I49-E49</x:f>
        <x:v>-566.7093225259523</x:v>
      </x:c>
      <x:c r="Z49" s="44" t="n">
        <x:f>J49-F49</x:f>
        <x:v>330.3960351253336</x:v>
      </x:c>
      <x:c r="AA49" s="44" t="n">
        <x:f>K49-G49</x:f>
        <x:v>-95.90861856369702</x:v>
      </x:c>
      <x:c r="AB49" s="44" t="n">
        <x:f>(ABS(D49-H48)+ABS(E49-I48)+ABS(F49-J48)+ABS(G49-K48))/2</x:f>
        <x:v>0</x:v>
      </x:c>
    </x:row>
    <x:row r="50" ht="22" customHeight="1">
      <x:c r="A50" s="2"/>
      <x:c r="B50" s="2"/>
      <x:c r="C50" s="42" t="n">
        <x:f>'Monthly'!C51</x:f>
        <x:v>45504</x:v>
      </x:c>
      <x:c r="D50" s="43" t="n">
        <x:f>IF(MOD(ROW()-8,'Allocation'!$G$17)=0,L49*'Allocation'!$G$8,H49)</x:f>
        <x:v>48784.26185490491</x:v>
      </x:c>
      <x:c r="E50" s="43" t="n">
        <x:f>IF(MOD(ROW()-8,'Allocation'!$G$17)=0,L49*'Allocation'!$G$9,I49)</x:f>
        <x:v>24392.130927452454</x:v>
      </x:c>
      <x:c r="F50" s="43" t="n">
        <x:f>IF(MOD(ROW()-8,'Allocation'!$G$17)=0,L49*'Allocation'!$G$10,J49)</x:f>
        <x:v>36588.19639117867</x:v>
      </x:c>
      <x:c r="G50" s="43" t="n">
        <x:f>IF(MOD(ROW()-8,'Allocation'!$G$17)=0,L49*'Allocation'!$G$11,K49)</x:f>
        <x:v>12196.065463726227</x:v>
      </x:c>
      <x:c r="H50" s="43" t="n">
        <x:f>D50*(1+'Monthly'!D51)</x:f>
        <x:v>49377.4350610675</x:v>
      </x:c>
      <x:c r="I50" s="43" t="n">
        <x:f>E50*(1+'Monthly'!E51)</x:f>
        <x:v>25201.94967424387</x:v>
      </x:c>
      <x:c r="J50" s="43" t="n">
        <x:f>F50*(1+'Monthly'!F51)</x:f>
        <x:v>37448.019006371374</x:v>
      </x:c>
      <x:c r="K50" s="43" t="n">
        <x:f>G50*(1+'Monthly'!G51)</x:f>
        <x:v>12692.445328099884</x:v>
      </x:c>
      <x:c r="L50" s="44" t="n">
        <x:f>SUM(H50:K50)</x:f>
        <x:v>124719.84906978265</x:v>
      </x:c>
      <x:c r="M50" s="43" t="n">
        <x:f>IF(MOD(ROW()-8,'Allocation'!$G$17)=0,U49*'Allocation'!$H$8,Q49)</x:f>
        <x:v>74857.27633425756</x:v>
      </x:c>
      <x:c r="N50" s="43" t="n">
        <x:f>IF(MOD(ROW()-8,'Allocation'!$G$17)=0,U49*'Allocation'!$H$9,R49)</x:f>
        <x:v>0</x:v>
      </x:c>
      <x:c r="O50" s="43" t="n">
        <x:f>IF(MOD(ROW()-8,'Allocation'!$G$17)=0,U49*'Allocation'!$H$10,S49)</x:f>
        <x:v>49904.85088950505</x:v>
      </x:c>
      <x:c r="P50" s="43" t="n">
        <x:f>IF(MOD(ROW()-8,'Allocation'!$G$17)=0,U49*'Allocation'!$H$11,T49)</x:f>
        <x:v>0</x:v>
      </x:c>
      <x:c r="Q50" s="43" t="n">
        <x:f>M50*(1+'Monthly'!D51)</x:f>
        <x:v>75767.4741915062</x:v>
      </x:c>
      <x:c r="R50" s="43" t="n">
        <x:f>N50*(1+'Monthly'!E51)</x:f>
        <x:v>0</x:v>
      </x:c>
      <x:c r="S50" s="43" t="n">
        <x:f>O50*(1+'Monthly'!F51)</x:f>
        <x:v>51077.61488540842</x:v>
      </x:c>
      <x:c r="T50" s="43" t="n">
        <x:f>P50*(1+'Monthly'!G51)</x:f>
        <x:v>0</x:v>
      </x:c>
      <x:c r="U50" s="44" t="n">
        <x:f>SUM(Q50:T50)</x:f>
        <x:v>126845.08907691462</x:v>
      </x:c>
      <x:c r="V50" s="21" t="n">
        <x:f>L50/SUM(D50:G50)-1</x:f>
        <x:v>0.022623644000000276</x:v>
      </x:c>
      <x:c r="W50" s="21" t="n">
        <x:f>U50/SUM(M50:P50)-1</x:f>
        <x:v>0.016695466000000048</x:v>
      </x:c>
      <x:c r="X50" s="44" t="n">
        <x:f>H50-D50</x:f>
        <x:v>593.1732061625953</x:v>
      </x:c>
      <x:c r="Y50" s="44" t="n">
        <x:f>I50-E50</x:f>
        <x:v>809.8187467914177</x:v>
      </x:c>
      <x:c r="Z50" s="44" t="n">
        <x:f>J50-F50</x:f>
        <x:v>859.822615192701</x:v>
      </x:c>
      <x:c r="AA50" s="44" t="n">
        <x:f>K50-G50</x:f>
        <x:v>496.37986437365726</x:v>
      </x:c>
      <x:c r="AB50" s="44" t="n">
        <x:f>(ABS(D50-H49)+ABS(E50-I49)+ABS(F50-J49)+ABS(G50-K49))/2</x:f>
        <x:v>1367.896695783851</x:v>
      </x:c>
    </x:row>
    <x:row r="51" ht="22" customHeight="1">
      <x:c r="A51" s="2"/>
      <x:c r="B51" s="2"/>
      <x:c r="C51" s="42" t="n">
        <x:f>'Monthly'!C52</x:f>
        <x:v>45535</x:v>
      </x:c>
      <x:c r="D51" s="43" t="n">
        <x:f>IF(MOD(ROW()-8,'Allocation'!$G$17)=0,L50*'Allocation'!$G$8,H50)</x:f>
        <x:v>49377.4350610675</x:v>
      </x:c>
      <x:c r="E51" s="43" t="n">
        <x:f>IF(MOD(ROW()-8,'Allocation'!$G$17)=0,L50*'Allocation'!$G$9,I50)</x:f>
        <x:v>25201.94967424387</x:v>
      </x:c>
      <x:c r="F51" s="43" t="n">
        <x:f>IF(MOD(ROW()-8,'Allocation'!$G$17)=0,L50*'Allocation'!$G$10,J50)</x:f>
        <x:v>37448.019006371374</x:v>
      </x:c>
      <x:c r="G51" s="43" t="n">
        <x:f>IF(MOD(ROW()-8,'Allocation'!$G$17)=0,L50*'Allocation'!$G$11,K50)</x:f>
        <x:v>12692.445328099884</x:v>
      </x:c>
      <x:c r="H51" s="43" t="n">
        <x:f>D51*(1+'Monthly'!D52)</x:f>
        <x:v>50572.76450280017</x:v>
      </x:c>
      <x:c r="I51" s="43" t="n">
        <x:f>E51*(1+'Monthly'!E52)</x:f>
        <x:v>26018.49284368937</x:v>
      </x:c>
      <x:c r="J51" s="43" t="n">
        <x:f>F51*(1+'Monthly'!F52)</x:f>
        <x:v>37987.27048006312</x:v>
      </x:c>
      <x:c r="K51" s="43" t="n">
        <x:f>G51*(1+'Monthly'!G52)</x:f>
        <x:v>13145.184852953209</x:v>
      </x:c>
      <x:c r="L51" s="44" t="n">
        <x:f>SUM(H51:K51)</x:f>
        <x:v>127723.71267950587</x:v>
      </x:c>
      <x:c r="M51" s="43" t="n">
        <x:f>IF(MOD(ROW()-8,'Allocation'!$G$17)=0,U50*'Allocation'!$H$8,Q50)</x:f>
        <x:v>75767.4741915062</x:v>
      </x:c>
      <x:c r="N51" s="43" t="n">
        <x:f>IF(MOD(ROW()-8,'Allocation'!$G$17)=0,U50*'Allocation'!$H$9,R50)</x:f>
        <x:v>0</x:v>
      </x:c>
      <x:c r="O51" s="43" t="n">
        <x:f>IF(MOD(ROW()-8,'Allocation'!$G$17)=0,U50*'Allocation'!$H$10,S50)</x:f>
        <x:v>51077.61488540842</x:v>
      </x:c>
      <x:c r="P51" s="43" t="n">
        <x:f>IF(MOD(ROW()-8,'Allocation'!$G$17)=0,U50*'Allocation'!$H$11,T50)</x:f>
        <x:v>0</x:v>
      </x:c>
      <x:c r="Q51" s="43" t="n">
        <x:f>M51*(1+'Monthly'!D52)</x:f>
        <x:v>77601.65396440892</x:v>
      </x:c>
      <x:c r="R51" s="43" t="n">
        <x:f>N51*(1+'Monthly'!E52)</x:f>
        <x:v>0</x:v>
      </x:c>
      <x:c r="S51" s="43" t="n">
        <x:f>O51*(1+'Monthly'!F52)</x:f>
        <x:v>51813.1325397583</x:v>
      </x:c>
      <x:c r="T51" s="43" t="n">
        <x:f>P51*(1+'Monthly'!G52)</x:f>
        <x:v>0</x:v>
      </x:c>
      <x:c r="U51" s="44" t="n">
        <x:f>SUM(Q51:T51)</x:f>
        <x:v>129414.78650416722</x:v>
      </x:c>
      <x:c r="V51" s="21" t="n">
        <x:f>L51/SUM(D51:G51)-1</x:f>
        <x:v>0.024084888108247382</x:v>
      </x:c>
      <x:c r="W51" s="21" t="n">
        <x:f>U51/SUM(M51:P51)-1</x:f>
        <x:v>0.020258548801163512</x:v>
      </x:c>
      <x:c r="X51" s="44" t="n">
        <x:f>H51-D51</x:f>
        <x:v>1195.3294417326688</x:v>
      </x:c>
      <x:c r="Y51" s="44" t="n">
        <x:f>I51-E51</x:f>
        <x:v>816.5431694455001</x:v>
      </x:c>
      <x:c r="Z51" s="44" t="n">
        <x:f>J51-F51</x:f>
        <x:v>539.2514736917437</x:v>
      </x:c>
      <x:c r="AA51" s="44" t="n">
        <x:f>K51-G51</x:f>
        <x:v>452.73952485332484</x:v>
      </x:c>
      <x:c r="AB51" s="44" t="n">
        <x:f>(ABS(D51-H50)+ABS(E51-I50)+ABS(F51-J50)+ABS(G51-K50))/2</x:f>
        <x:v>0</x:v>
      </x:c>
    </x:row>
    <x:row r="52" ht="22" customHeight="1">
      <x:c r="A52" s="2"/>
      <x:c r="B52" s="2"/>
      <x:c r="C52" s="42" t="n">
        <x:f>'Monthly'!C53</x:f>
        <x:v>45565</x:v>
      </x:c>
      <x:c r="D52" s="43" t="n">
        <x:f>IF(MOD(ROW()-8,'Allocation'!$G$17)=0,L51*'Allocation'!$G$8,H51)</x:f>
        <x:v>50572.76450280017</x:v>
      </x:c>
      <x:c r="E52" s="43" t="n">
        <x:f>IF(MOD(ROW()-8,'Allocation'!$G$17)=0,L51*'Allocation'!$G$9,I51)</x:f>
        <x:v>26018.49284368937</x:v>
      </x:c>
      <x:c r="F52" s="43" t="n">
        <x:f>IF(MOD(ROW()-8,'Allocation'!$G$17)=0,L51*'Allocation'!$G$10,J51)</x:f>
        <x:v>37987.27048006312</x:v>
      </x:c>
      <x:c r="G52" s="43" t="n">
        <x:f>IF(MOD(ROW()-8,'Allocation'!$G$17)=0,L51*'Allocation'!$G$11,K51)</x:f>
        <x:v>13145.184852953209</x:v>
      </x:c>
      <x:c r="H52" s="43" t="n">
        <x:f>D52*(1+'Monthly'!D53)</x:f>
        <x:v>51651.68841225172</x:v>
      </x:c>
      <x:c r="I52" s="43" t="n">
        <x:f>E52*(1+'Monthly'!E53)</x:f>
        <x:v>26268.27037498879</x:v>
      </x:c>
      <x:c r="J52" s="43" t="n">
        <x:f>F52*(1+'Monthly'!F53)</x:f>
        <x:v>38496.299904495965</x:v>
      </x:c>
      <x:c r="K52" s="43" t="n">
        <x:f>G52*(1+'Monthly'!G53)</x:f>
        <x:v>13752.09803761406</x:v>
      </x:c>
      <x:c r="L52" s="44" t="n">
        <x:f>SUM(H52:K52)</x:f>
        <x:v>130168.35672935053</x:v>
      </x:c>
      <x:c r="M52" s="43" t="n">
        <x:f>IF(MOD(ROW()-8,'Allocation'!$G$17)=0,U51*'Allocation'!$H$8,Q51)</x:f>
        <x:v>77601.65396440892</x:v>
      </x:c>
      <x:c r="N52" s="43" t="n">
        <x:f>IF(MOD(ROW()-8,'Allocation'!$G$17)=0,U51*'Allocation'!$H$9,R51)</x:f>
        <x:v>0</x:v>
      </x:c>
      <x:c r="O52" s="43" t="n">
        <x:f>IF(MOD(ROW()-8,'Allocation'!$G$17)=0,U51*'Allocation'!$H$10,S51)</x:f>
        <x:v>51813.1325397583</x:v>
      </x:c>
      <x:c r="P52" s="43" t="n">
        <x:f>IF(MOD(ROW()-8,'Allocation'!$G$17)=0,U51*'Allocation'!$H$11,T51)</x:f>
        <x:v>0</x:v>
      </x:c>
      <x:c r="Q52" s="43" t="n">
        <x:f>M52*(1+'Monthly'!D53)</x:f>
        <x:v>79257.21463423448</x:v>
      </x:c>
      <x:c r="R52" s="43" t="n">
        <x:f>N52*(1+'Monthly'!E53)</x:f>
        <x:v>0</x:v>
      </x:c>
      <x:c r="S52" s="43" t="n">
        <x:f>O52*(1+'Monthly'!F53)</x:f>
        <x:v>52507.42851579106</x:v>
      </x:c>
      <x:c r="T52" s="43" t="n">
        <x:f>P52*(1+'Monthly'!G53)</x:f>
        <x:v>0</x:v>
      </x:c>
      <x:c r="U52" s="44" t="n">
        <x:f>SUM(Q52:T52)</x:f>
        <x:v>131764.64315002554</x:v>
      </x:c>
      <x:c r="V52" s="21" t="n">
        <x:f>L52/SUM(D52:G52)-1</x:f>
        <x:v>0.019140095433797466</x:v>
      </x:c>
      <x:c r="W52" s="21" t="n">
        <x:f>U52/SUM(M52:P52)-1</x:f>
        <x:v>0.018157559188823003</x:v>
      </x:c>
      <x:c r="X52" s="44" t="n">
        <x:f>H52-D52</x:f>
        <x:v>1078.9239094515506</x:v>
      </x:c>
      <x:c r="Y52" s="44" t="n">
        <x:f>I52-E52</x:f>
        <x:v>249.77753129941993</x:v>
      </x:c>
      <x:c r="Z52" s="44" t="n">
        <x:f>J52-F52</x:f>
        <x:v>509.029424432847</x:v>
      </x:c>
      <x:c r="AA52" s="44" t="n">
        <x:f>K52-G52</x:f>
        <x:v>606.9131846608507</x:v>
      </x:c>
      <x:c r="AB52" s="44" t="n">
        <x:f>(ABS(D52-H51)+ABS(E52-I51)+ABS(F52-J51)+ABS(G52-K51))/2</x:f>
        <x:v>0</x:v>
      </x:c>
    </x:row>
    <x:row r="53" ht="22" customHeight="1">
      <x:c r="A53" s="2"/>
      <x:c r="B53" s="2"/>
      <x:c r="C53" s="42" t="n">
        <x:f>'Monthly'!C54</x:f>
        <x:v>45596</x:v>
      </x:c>
      <x:c r="D53" s="43" t="n">
        <x:f>IF(MOD(ROW()-8,'Allocation'!$G$17)=0,L52*'Allocation'!$G$8,H52)</x:f>
        <x:v>52067.34269174022</x:v>
      </x:c>
      <x:c r="E53" s="43" t="n">
        <x:f>IF(MOD(ROW()-8,'Allocation'!$G$17)=0,L52*'Allocation'!$G$9,I52)</x:f>
        <x:v>26033.67134587011</x:v>
      </x:c>
      <x:c r="F53" s="43" t="n">
        <x:f>IF(MOD(ROW()-8,'Allocation'!$G$17)=0,L52*'Allocation'!$G$10,J52)</x:f>
        <x:v>39050.50701880516</x:v>
      </x:c>
      <x:c r="G53" s="43" t="n">
        <x:f>IF(MOD(ROW()-8,'Allocation'!$G$17)=0,L52*'Allocation'!$G$11,K52)</x:f>
        <x:v>13016.835672935054</x:v>
      </x:c>
      <x:c r="H53" s="43" t="n">
        <x:f>D53*(1+'Monthly'!D54)</x:f>
        <x:v>51593.70898490424</x:v>
      </x:c>
      <x:c r="I53" s="43" t="n">
        <x:f>E53*(1+'Monthly'!E54)</x:f>
        <x:v>24573.182383366795</x:v>
      </x:c>
      <x:c r="J53" s="43" t="n">
        <x:f>F53*(1+'Monthly'!F54)</x:f>
        <x:v>38082.054444738795</x:v>
      </x:c>
      <x:c r="K53" s="43" t="n">
        <x:f>G53*(1+'Monthly'!G54)</x:f>
        <x:v>13529.829166805424</x:v>
      </x:c>
      <x:c r="L53" s="44" t="n">
        <x:f>SUM(H53:K53)</x:f>
        <x:v>127778.77497981525</x:v>
      </x:c>
      <x:c r="M53" s="43" t="n">
        <x:f>IF(MOD(ROW()-8,'Allocation'!$G$17)=0,U52*'Allocation'!$H$8,Q52)</x:f>
        <x:v>79058.78589001532</x:v>
      </x:c>
      <x:c r="N53" s="43" t="n">
        <x:f>IF(MOD(ROW()-8,'Allocation'!$G$17)=0,U52*'Allocation'!$H$9,R52)</x:f>
        <x:v>0</x:v>
      </x:c>
      <x:c r="O53" s="43" t="n">
        <x:f>IF(MOD(ROW()-8,'Allocation'!$G$17)=0,U52*'Allocation'!$H$10,S52)</x:f>
        <x:v>52705.85726001022</x:v>
      </x:c>
      <x:c r="P53" s="43" t="n">
        <x:f>IF(MOD(ROW()-8,'Allocation'!$G$17)=0,U52*'Allocation'!$H$11,T52)</x:f>
        <x:v>0</x:v>
      </x:c>
      <x:c r="Q53" s="43" t="n">
        <x:f>M53*(1+'Monthly'!D54)</x:f>
        <x:v>78339.62290063965</x:v>
      </x:c>
      <x:c r="R53" s="43" t="n">
        <x:f>N53*(1+'Monthly'!E54)</x:f>
        <x:v>0</x:v>
      </x:c>
      <x:c r="S53" s="43" t="n">
        <x:f>O53*(1+'Monthly'!F54)</x:f>
        <x:v>51398.75199996196</x:v>
      </x:c>
      <x:c r="T53" s="43" t="n">
        <x:f>P53*(1+'Monthly'!G54)</x:f>
        <x:v>0</x:v>
      </x:c>
      <x:c r="U53" s="44" t="n">
        <x:f>SUM(Q53:T53)</x:f>
        <x:v>129738.3749006016</x:v>
      </x:c>
      <x:c r="V53" s="21" t="n">
        <x:f>L53/SUM(D53:G53)-1</x:f>
        <x:v>-0.01835762399999996</x:v>
      </x:c>
      <x:c r="W53" s="21" t="n">
        <x:f>U53/SUM(M53:P53)-1</x:f>
        <x:v>-0.015377936000000036</x:v>
      </x:c>
      <x:c r="X53" s="44" t="n">
        <x:f>H53-D53</x:f>
        <x:v>-473.63370683597896</x:v>
      </x:c>
      <x:c r="Y53" s="44" t="n">
        <x:f>I53-E53</x:f>
        <x:v>-1460.4889625033138</x:v>
      </x:c>
      <x:c r="Z53" s="44" t="n">
        <x:f>J53-F53</x:f>
        <x:v>-968.4525740663667</x:v>
      </x:c>
      <x:c r="AA53" s="44" t="n">
        <x:f>K53-G53</x:f>
        <x:v>512.99349387037</x:v>
      </x:c>
      <x:c r="AB53" s="44" t="n">
        <x:f>(ABS(D53-H52)+ABS(E53-I52)+ABS(F53-J52)+ABS(G53-K52))/2</x:f>
        <x:v>969.8613937976897</x:v>
      </x:c>
    </x:row>
    <x:row r="54" ht="22" customHeight="1">
      <x:c r="A54" s="2"/>
      <x:c r="B54" s="2"/>
      <x:c r="C54" s="42" t="n">
        <x:f>'Monthly'!C55</x:f>
        <x:v>45626</x:v>
      </x:c>
      <x:c r="D54" s="43" t="n">
        <x:f>IF(MOD(ROW()-8,'Allocation'!$G$17)=0,L53*'Allocation'!$G$8,H53)</x:f>
        <x:v>51593.70898490424</x:v>
      </x:c>
      <x:c r="E54" s="43" t="n">
        <x:f>IF(MOD(ROW()-8,'Allocation'!$G$17)=0,L53*'Allocation'!$G$9,I53)</x:f>
        <x:v>24573.182383366795</x:v>
      </x:c>
      <x:c r="F54" s="43" t="n">
        <x:f>IF(MOD(ROW()-8,'Allocation'!$G$17)=0,L53*'Allocation'!$G$10,J53)</x:f>
        <x:v>38082.054444738795</x:v>
      </x:c>
      <x:c r="G54" s="43" t="n">
        <x:f>IF(MOD(ROW()-8,'Allocation'!$G$17)=0,L53*'Allocation'!$G$11,K53)</x:f>
        <x:v>13529.829166805424</x:v>
      </x:c>
      <x:c r="H54" s="43" t="n">
        <x:f>D54*(1+'Monthly'!D55)</x:f>
        <x:v>54620.30584855886</x:v>
      </x:c>
      <x:c r="I54" s="43" t="n">
        <x:f>E54*(1+'Monthly'!E55)</x:f>
        <x:v>24548.60920098343</x:v>
      </x:c>
      <x:c r="J54" s="43" t="n">
        <x:f>F54*(1+'Monthly'!F55)</x:f>
        <x:v>38512.38165996435</x:v>
      </x:c>
      <x:c r="K54" s="43" t="n">
        <x:f>G54*(1+'Monthly'!G55)</x:f>
        <x:v>13116.086990884514</x:v>
      </x:c>
      <x:c r="L54" s="44" t="n">
        <x:f>SUM(H54:K54)</x:f>
        <x:v>130797.38370039116</x:v>
      </x:c>
      <x:c r="M54" s="43" t="n">
        <x:f>IF(MOD(ROW()-8,'Allocation'!$G$17)=0,U53*'Allocation'!$H$8,Q53)</x:f>
        <x:v>78339.62290063965</x:v>
      </x:c>
      <x:c r="N54" s="43" t="n">
        <x:f>IF(MOD(ROW()-8,'Allocation'!$G$17)=0,U53*'Allocation'!$H$9,R53)</x:f>
        <x:v>0</x:v>
      </x:c>
      <x:c r="O54" s="43" t="n">
        <x:f>IF(MOD(ROW()-8,'Allocation'!$G$17)=0,U53*'Allocation'!$H$10,S53)</x:f>
        <x:v>51398.75199996196</x:v>
      </x:c>
      <x:c r="P54" s="43" t="n">
        <x:f>IF(MOD(ROW()-8,'Allocation'!$G$17)=0,U53*'Allocation'!$H$11,T53)</x:f>
        <x:v>0</x:v>
      </x:c>
      <x:c r="Q54" s="43" t="n">
        <x:f>M54*(1+'Monthly'!D55)</x:f>
        <x:v>82935.19204338796</x:v>
      </x:c>
      <x:c r="R54" s="43" t="n">
        <x:f>N54*(1+'Monthly'!E55)</x:f>
        <x:v>0</x:v>
      </x:c>
      <x:c r="S54" s="43" t="n">
        <x:f>O54*(1+'Monthly'!F55)</x:f>
        <x:v>51979.557897561535</x:v>
      </x:c>
      <x:c r="T54" s="43" t="n">
        <x:f>P54*(1+'Monthly'!G55)</x:f>
        <x:v>0</x:v>
      </x:c>
      <x:c r="U54" s="44" t="n">
        <x:f>SUM(Q54:T54)</x:f>
        <x:v>134914.7499409495</x:v>
      </x:c>
      <x:c r="V54" s="21" t="n">
        <x:f>L54/SUM(D54:G54)-1</x:f>
        <x:v>0.023623709971024143</x:v>
      </x:c>
      <x:c r="W54" s="21" t="n">
        <x:f>U54/SUM(M54:P54)-1</x:f>
        <x:v>0.03989856543458137</x:v>
      </x:c>
      <x:c r="X54" s="44" t="n">
        <x:f>H54-D54</x:f>
        <x:v>3026.596863654624</x:v>
      </x:c>
      <x:c r="Y54" s="44" t="n">
        <x:f>I54-E54</x:f>
        <x:v>-24.573182383366657</x:v>
      </x:c>
      <x:c r="Z54" s="44" t="n">
        <x:f>J54-F54</x:f>
        <x:v>430.3272152255522</x:v>
      </x:c>
      <x:c r="AA54" s="44" t="n">
        <x:f>K54-G54</x:f>
        <x:v>-413.7421759209101</x:v>
      </x:c>
      <x:c r="AB54" s="44" t="n">
        <x:f>(ABS(D54-H53)+ABS(E54-I53)+ABS(F54-J53)+ABS(G54-K53))/2</x:f>
        <x:v>0</x:v>
      </x:c>
    </x:row>
    <x:row r="55" ht="22" customHeight="1">
      <x:c r="A55" s="2"/>
      <x:c r="B55" s="2"/>
      <x:c r="C55" s="42" t="n">
        <x:f>'Monthly'!C56</x:f>
        <x:v>45657</x:v>
      </x:c>
      <x:c r="D55" s="43" t="n">
        <x:f>IF(MOD(ROW()-8,'Allocation'!$G$17)=0,L54*'Allocation'!$G$8,H54)</x:f>
        <x:v>54620.30584855886</x:v>
      </x:c>
      <x:c r="E55" s="43" t="n">
        <x:f>IF(MOD(ROW()-8,'Allocation'!$G$17)=0,L54*'Allocation'!$G$9,I54)</x:f>
        <x:v>24548.60920098343</x:v>
      </x:c>
      <x:c r="F55" s="43" t="n">
        <x:f>IF(MOD(ROW()-8,'Allocation'!$G$17)=0,L54*'Allocation'!$G$10,J54)</x:f>
        <x:v>38512.38165996435</x:v>
      </x:c>
      <x:c r="G55" s="43" t="n">
        <x:f>IF(MOD(ROW()-8,'Allocation'!$G$17)=0,L54*'Allocation'!$G$11,K54)</x:f>
        <x:v>13116.086990884514</x:v>
      </x:c>
      <x:c r="H55" s="43" t="n">
        <x:f>D55*(1+'Monthly'!D56)</x:f>
        <x:v>53317.11614789669</x:v>
      </x:c>
      <x:c r="I55" s="43" t="n">
        <x:f>E55*(1+'Monthly'!E56)</x:f>
        <x:v>23841.609255995103</x:v>
      </x:c>
      <x:c r="J55" s="43" t="n">
        <x:f>F55*(1+'Monthly'!F56)</x:f>
        <x:v>37861.52240991095</x:v>
      </x:c>
      <x:c r="K55" s="43" t="n">
        <x:f>G55*(1+'Monthly'!G56)</x:f>
        <x:v>12914.361572964712</x:v>
      </x:c>
      <x:c r="L55" s="44" t="n">
        <x:f>SUM(H55:K55)</x:f>
        <x:v>127934.60938676745</x:v>
      </x:c>
      <x:c r="M55" s="43" t="n">
        <x:f>IF(MOD(ROW()-8,'Allocation'!$G$17)=0,U54*'Allocation'!$H$8,Q54)</x:f>
        <x:v>82935.19204338796</x:v>
      </x:c>
      <x:c r="N55" s="43" t="n">
        <x:f>IF(MOD(ROW()-8,'Allocation'!$G$17)=0,U54*'Allocation'!$H$9,R54)</x:f>
        <x:v>0</x:v>
      </x:c>
      <x:c r="O55" s="43" t="n">
        <x:f>IF(MOD(ROW()-8,'Allocation'!$G$17)=0,U54*'Allocation'!$H$10,S54)</x:f>
        <x:v>51979.557897561535</x:v>
      </x:c>
      <x:c r="P55" s="43" t="n">
        <x:f>IF(MOD(ROW()-8,'Allocation'!$G$17)=0,U54*'Allocation'!$H$11,T54)</x:f>
        <x:v>0</x:v>
      </x:c>
      <x:c r="Q55" s="43" t="n">
        <x:f>M55*(1+'Monthly'!D56)</x:f>
        <x:v>80956.43549096132</x:v>
      </x:c>
      <x:c r="R55" s="43" t="n">
        <x:f>N55*(1+'Monthly'!E56)</x:f>
        <x:v>0</x:v>
      </x:c>
      <x:c r="S55" s="43" t="n">
        <x:f>O55*(1+'Monthly'!F56)</x:f>
        <x:v>51101.10336909274</x:v>
      </x:c>
      <x:c r="T55" s="43" t="n">
        <x:f>P55*(1+'Monthly'!G56)</x:f>
        <x:v>0</x:v>
      </x:c>
      <x:c r="U55" s="44" t="n">
        <x:f>SUM(Q55:T55)</x:f>
        <x:v>132057.53886005405</x:v>
      </x:c>
      <x:c r="V55" s="21" t="n">
        <x:f>L55/SUM(D55:G55)-1</x:f>
        <x:v>-0.021887091565847228</x:v>
      </x:c>
      <x:c r="W55" s="21" t="n">
        <x:f>U55/SUM(M55:P55)-1</x:f>
        <x:v>-0.02117789998607278</x:v>
      </x:c>
      <x:c r="X55" s="44" t="n">
        <x:f>H55-D55</x:f>
        <x:v>-1303.189700662173</x:v>
      </x:c>
      <x:c r="Y55" s="44" t="n">
        <x:f>I55-E55</x:f>
        <x:v>-706.9999449883253</x:v>
      </x:c>
      <x:c r="Z55" s="44" t="n">
        <x:f>J55-F55</x:f>
        <x:v>-650.8592500533996</x:v>
      </x:c>
      <x:c r="AA55" s="44" t="n">
        <x:f>K55-G55</x:f>
        <x:v>-201.72541791980257</x:v>
      </x:c>
      <x:c r="AB55" s="44" t="n">
        <x:f>(ABS(D55-H54)+ABS(E55-I54)+ABS(F55-J54)+ABS(G55-K54))/2</x:f>
        <x:v>0</x:v>
      </x:c>
    </x:row>
    <x:row r="56" ht="22" customHeight="1">
      <x:c r="A56" s="2"/>
      <x:c r="B56" s="2"/>
      <x:c r="C56" s="42" t="n">
        <x:f>'Monthly'!C57</x:f>
        <x:v>45688</x:v>
      </x:c>
      <x:c r="D56" s="43" t="n">
        <x:f>IF(MOD(ROW()-8,'Allocation'!$G$17)=0,L55*'Allocation'!$G$8,H55)</x:f>
        <x:v>51173.843754706984</x:v>
      </x:c>
      <x:c r="E56" s="43" t="n">
        <x:f>IF(MOD(ROW()-8,'Allocation'!$G$17)=0,L55*'Allocation'!$G$9,I55)</x:f>
        <x:v>25586.921877353492</x:v>
      </x:c>
      <x:c r="F56" s="43" t="n">
        <x:f>IF(MOD(ROW()-8,'Allocation'!$G$17)=0,L55*'Allocation'!$G$10,J55)</x:f>
        <x:v>38380.38281603024</x:v>
      </x:c>
      <x:c r="G56" s="43" t="n">
        <x:f>IF(MOD(ROW()-8,'Allocation'!$G$17)=0,L55*'Allocation'!$G$11,K55)</x:f>
        <x:v>12793.460938676746</x:v>
      </x:c>
      <x:c r="H56" s="43" t="n">
        <x:f>D56*(1+'Monthly'!D57)</x:f>
        <x:v>52596.37631035408</x:v>
      </x:c>
      <x:c r="I56" s="43" t="n">
        <x:f>E56*(1+'Monthly'!E57)</x:f>
        <x:v>26792.06589777684</x:v>
      </x:c>
      <x:c r="J56" s="43" t="n">
        <x:f>F56*(1+'Monthly'!F57)</x:f>
        <x:v>38576.12276839199</x:v>
      </x:c>
      <x:c r="K56" s="43" t="n">
        <x:f>G56*(1+'Monthly'!G57)</x:f>
        <x:v>13776.638411814056</x:v>
      </x:c>
      <x:c r="L56" s="44" t="n">
        <x:f>SUM(H56:K56)</x:f>
        <x:v>131741.20338833696</x:v>
      </x:c>
      <x:c r="M56" s="43" t="n">
        <x:f>IF(MOD(ROW()-8,'Allocation'!$G$17)=0,U55*'Allocation'!$H$8,Q55)</x:f>
        <x:v>79234.52331603243</x:v>
      </x:c>
      <x:c r="N56" s="43" t="n">
        <x:f>IF(MOD(ROW()-8,'Allocation'!$G$17)=0,U55*'Allocation'!$H$9,R55)</x:f>
        <x:v>0</x:v>
      </x:c>
      <x:c r="O56" s="43" t="n">
        <x:f>IF(MOD(ROW()-8,'Allocation'!$G$17)=0,U55*'Allocation'!$H$10,S55)</x:f>
        <x:v>52823.01554402162</x:v>
      </x:c>
      <x:c r="P56" s="43" t="n">
        <x:f>IF(MOD(ROW()-8,'Allocation'!$G$17)=0,U55*'Allocation'!$H$11,T55)</x:f>
        <x:v>0</x:v>
      </x:c>
      <x:c r="Q56" s="43" t="n">
        <x:f>M56*(1+'Monthly'!D57)</x:f>
        <x:v>81437.08776455243</x:v>
      </x:c>
      <x:c r="R56" s="43" t="n">
        <x:f>N56*(1+'Monthly'!E57)</x:f>
        <x:v>0</x:v>
      </x:c>
      <x:c r="S56" s="43" t="n">
        <x:f>O56*(1+'Monthly'!F57)</x:f>
        <x:v>53092.412923296135</x:v>
      </x:c>
      <x:c r="T56" s="43" t="n">
        <x:f>P56*(1+'Monthly'!G57)</x:f>
        <x:v>0</x:v>
      </x:c>
      <x:c r="U56" s="44" t="n">
        <x:f>SUM(Q56:T56)</x:f>
        <x:v>134529.50068784857</x:v>
      </x:c>
      <x:c r="V56" s="21" t="n">
        <x:f>L56/SUM(D56:G56)-1</x:f>
        <x:v>0.029754215999999944</x:v>
      </x:c>
      <x:c r="W56" s="21" t="n">
        <x:f>U56/SUM(M56:P56)-1</x:f>
        <x:v>0.018718824000000023</x:v>
      </x:c>
      <x:c r="X56" s="44" t="n">
        <x:f>H56-D56</x:f>
        <x:v>1422.5325556470925</x:v>
      </x:c>
      <x:c r="Y56" s="44" t="n">
        <x:f>I56-E56</x:f>
        <x:v>1205.1440204233477</x:v>
      </x:c>
      <x:c r="Z56" s="44" t="n">
        <x:f>J56-F56</x:f>
        <x:v>195.73995236175688</x:v>
      </x:c>
      <x:c r="AA56" s="44" t="n">
        <x:f>K56-G56</x:f>
        <x:v>983.1774731373098</x:v>
      </x:c>
      <x:c r="AB56" s="44" t="n">
        <x:f>(ABS(D56-H55)+ABS(E56-I55)+ABS(F56-J55)+ABS(G56-K55))/2</x:f>
        <x:v>2264.1730274776746</x:v>
      </x:c>
    </x:row>
    <x:row r="57" ht="22" customHeight="1">
      <x:c r="A57" s="2"/>
      <x:c r="B57" s="2"/>
      <x:c r="C57" s="42" t="n">
        <x:f>'Monthly'!C58</x:f>
        <x:v>45716</x:v>
      </x:c>
      <x:c r="D57" s="43" t="n">
        <x:f>IF(MOD(ROW()-8,'Allocation'!$G$17)=0,L56*'Allocation'!$G$8,H56)</x:f>
        <x:v>52596.37631035408</x:v>
      </x:c>
      <x:c r="E57" s="43" t="n">
        <x:f>IF(MOD(ROW()-8,'Allocation'!$G$17)=0,L56*'Allocation'!$G$9,I56)</x:f>
        <x:v>26792.06589777684</x:v>
      </x:c>
      <x:c r="F57" s="43" t="n">
        <x:f>IF(MOD(ROW()-8,'Allocation'!$G$17)=0,L56*'Allocation'!$G$10,J56)</x:f>
        <x:v>38576.12276839199</x:v>
      </x:c>
      <x:c r="G57" s="43" t="n">
        <x:f>IF(MOD(ROW()-8,'Allocation'!$G$17)=0,L56*'Allocation'!$G$11,K56)</x:f>
        <x:v>13776.638411814056</x:v>
      </x:c>
      <x:c r="H57" s="43" t="n">
        <x:f>D57*(1+'Monthly'!D58)</x:f>
        <x:v>51907.08554585776</x:v>
      </x:c>
      <x:c r="I57" s="43" t="n">
        <x:f>E57*(1+'Monthly'!E58)</x:f>
        <x:v>27526.168503375928</x:v>
      </x:c>
      <x:c r="J57" s="43" t="n">
        <x:f>F57*(1+'Monthly'!F58)</x:f>
        <x:v>39424.797469296616</x:v>
      </x:c>
      <x:c r="K57" s="43" t="n">
        <x:f>G57*(1+'Monthly'!G58)</x:f>
        <x:v>13884.233957810326</x:v>
      </x:c>
      <x:c r="L57" s="44" t="n">
        <x:f>SUM(H57:K57)</x:f>
        <x:v>132742.28547634062</x:v>
      </x:c>
      <x:c r="M57" s="43" t="n">
        <x:f>IF(MOD(ROW()-8,'Allocation'!$G$17)=0,U56*'Allocation'!$H$8,Q56)</x:f>
        <x:v>81437.08776455243</x:v>
      </x:c>
      <x:c r="N57" s="43" t="n">
        <x:f>IF(MOD(ROW()-8,'Allocation'!$G$17)=0,U56*'Allocation'!$H$9,R56)</x:f>
        <x:v>0</x:v>
      </x:c>
      <x:c r="O57" s="43" t="n">
        <x:f>IF(MOD(ROW()-8,'Allocation'!$G$17)=0,U56*'Allocation'!$H$10,S56)</x:f>
        <x:v>53092.412923296135</x:v>
      </x:c>
      <x:c r="P57" s="43" t="n">
        <x:f>IF(MOD(ROW()-8,'Allocation'!$G$17)=0,U56*'Allocation'!$H$11,T56)</x:f>
        <x:v>0</x:v>
      </x:c>
      <x:c r="Q57" s="43" t="n">
        <x:f>M57*(1+'Monthly'!D58)</x:f>
        <x:v>80369.83111264251</x:v>
      </x:c>
      <x:c r="R57" s="43" t="n">
        <x:f>N57*(1+'Monthly'!E58)</x:f>
        <x:v>0</x:v>
      </x:c>
      <x:c r="S57" s="43" t="n">
        <x:f>O57*(1+'Monthly'!F58)</x:f>
        <x:v>54260.446007608654</x:v>
      </x:c>
      <x:c r="T57" s="43" t="n">
        <x:f>P57*(1+'Monthly'!G58)</x:f>
        <x:v>0</x:v>
      </x:c>
      <x:c r="U57" s="44" t="n">
        <x:f>SUM(Q57:T57)</x:f>
        <x:v>134630.27712025115</x:v>
      </x:c>
      <x:c r="V57" s="21" t="n">
        <x:f>L57/SUM(D57:G57)-1</x:f>
        <x:v>0.007598853375073045</x:v>
      </x:c>
      <x:c r="W57" s="21" t="n">
        <x:f>U57/SUM(M57:P57)-1</x:f>
        <x:v>0.000749102850209793</x:v>
      </x:c>
      <x:c r="X57" s="44" t="n">
        <x:f>H57-D57</x:f>
        <x:v>-689.2907644963198</x:v>
      </x:c>
      <x:c r="Y57" s="44" t="n">
        <x:f>I57-E57</x:f>
        <x:v>734.1026055990878</x:v>
      </x:c>
      <x:c r="Z57" s="44" t="n">
        <x:f>J57-F57</x:f>
        <x:v>848.674700904623</x:v>
      </x:c>
      <x:c r="AA57" s="44" t="n">
        <x:f>K57-G57</x:f>
        <x:v>107.59554599626972</x:v>
      </x:c>
      <x:c r="AB57" s="44" t="n">
        <x:f>(ABS(D57-H56)+ABS(E57-I56)+ABS(F57-J56)+ABS(G57-K56))/2</x:f>
        <x:v>0</x:v>
      </x:c>
    </x:row>
    <x:row r="58" ht="22" customHeight="1">
      <x:c r="A58" s="2"/>
      <x:c r="B58" s="2"/>
      <x:c r="C58" s="42" t="n">
        <x:f>'Monthly'!C59</x:f>
        <x:v>45747</x:v>
      </x:c>
      <x:c r="D58" s="43" t="n">
        <x:f>IF(MOD(ROW()-8,'Allocation'!$G$17)=0,L57*'Allocation'!$G$8,H57)</x:f>
        <x:v>51907.08554585776</x:v>
      </x:c>
      <x:c r="E58" s="43" t="n">
        <x:f>IF(MOD(ROW()-8,'Allocation'!$G$17)=0,L57*'Allocation'!$G$9,I57)</x:f>
        <x:v>27526.168503375928</x:v>
      </x:c>
      <x:c r="F58" s="43" t="n">
        <x:f>IF(MOD(ROW()-8,'Allocation'!$G$17)=0,L57*'Allocation'!$G$10,J57)</x:f>
        <x:v>39424.797469296616</x:v>
      </x:c>
      <x:c r="G58" s="43" t="n">
        <x:f>IF(MOD(ROW()-8,'Allocation'!$G$17)=0,L57*'Allocation'!$G$11,K57)</x:f>
        <x:v>13884.233957810326</x:v>
      </x:c>
      <x:c r="H58" s="43" t="n">
        <x:f>D58*(1+'Monthly'!D59)</x:f>
        <x:v>48983.679006985905</x:v>
      </x:c>
      <x:c r="I58" s="43" t="n">
        <x:f>E58*(1+'Monthly'!E59)</x:f>
        <x:v>27517.910652824918</x:v>
      </x:c>
      <x:c r="J58" s="43" t="n">
        <x:f>F58*(1+'Monthly'!F59)</x:f>
        <x:v>39440.56738828433</x:v>
      </x:c>
      <x:c r="K58" s="43" t="n">
        <x:f>G58*(1+'Monthly'!G59)</x:f>
        <x:v>15255.440903483674</x:v>
      </x:c>
      <x:c r="L58" s="44" t="n">
        <x:f>SUM(H58:K58)</x:f>
        <x:v>131197.59795157885</x:v>
      </x:c>
      <x:c r="M58" s="43" t="n">
        <x:f>IF(MOD(ROW()-8,'Allocation'!$G$17)=0,U57*'Allocation'!$H$8,Q57)</x:f>
        <x:v>80369.83111264251</x:v>
      </x:c>
      <x:c r="N58" s="43" t="n">
        <x:f>IF(MOD(ROW()-8,'Allocation'!$G$17)=0,U57*'Allocation'!$H$9,R57)</x:f>
        <x:v>0</x:v>
      </x:c>
      <x:c r="O58" s="43" t="n">
        <x:f>IF(MOD(ROW()-8,'Allocation'!$G$17)=0,U57*'Allocation'!$H$10,S57)</x:f>
        <x:v>54260.446007608654</x:v>
      </x:c>
      <x:c r="P58" s="43" t="n">
        <x:f>IF(MOD(ROW()-8,'Allocation'!$G$17)=0,U57*'Allocation'!$H$11,T57)</x:f>
        <x:v>0</x:v>
      </x:c>
      <x:c r="Q58" s="43" t="n">
        <x:f>M58*(1+'Monthly'!D59)</x:f>
        <x:v>75843.40302807679</x:v>
      </x:c>
      <x:c r="R58" s="43" t="n">
        <x:f>N58*(1+'Monthly'!E59)</x:f>
        <x:v>0</x:v>
      </x:c>
      <x:c r="S58" s="43" t="n">
        <x:f>O58*(1+'Monthly'!F59)</x:f>
        <x:v>54282.1501860117</x:v>
      </x:c>
      <x:c r="T58" s="43" t="n">
        <x:f>P58*(1+'Monthly'!G59)</x:f>
        <x:v>0</x:v>
      </x:c>
      <x:c r="U58" s="44" t="n">
        <x:f>SUM(Q58:T58)</x:f>
        <x:v>130125.55321408849</x:v>
      </x:c>
      <x:c r="V58" s="21" t="n">
        <x:f>L58/SUM(D58:G58)-1</x:f>
        <x:v>-0.011636740464567974</x:v>
      </x:c>
      <x:c r="W58" s="21" t="n">
        <x:f>U58/SUM(M58:P58)-1</x:f>
        <x:v>-0.033459961626158274</x:v>
      </x:c>
      <x:c r="X58" s="44" t="n">
        <x:f>H58-D58</x:f>
        <x:v>-2923.406538871852</x:v>
      </x:c>
      <x:c r="Y58" s="44" t="n">
        <x:f>I58-E58</x:f>
        <x:v>-8.257850551010051</x:v>
      </x:c>
      <x:c r="Z58" s="44" t="n">
        <x:f>J58-F58</x:f>
        <x:v>15.769918987716665</x:v>
      </x:c>
      <x:c r="AA58" s="44" t="n">
        <x:f>K58-G58</x:f>
        <x:v>1371.206945673348</x:v>
      </x:c>
      <x:c r="AB58" s="44" t="n">
        <x:f>(ABS(D58-H57)+ABS(E58-I57)+ABS(F58-J57)+ABS(G58-K57))/2</x:f>
        <x:v>0</x:v>
      </x:c>
    </x:row>
    <x:row r="59" ht="22" customHeight="1">
      <x:c r="A59" s="2"/>
      <x:c r="B59" s="2"/>
      <x:c r="C59" s="42" t="n">
        <x:f>'Monthly'!C60</x:f>
        <x:v>45777</x:v>
      </x:c>
      <x:c r="D59" s="43" t="n">
        <x:f>IF(MOD(ROW()-8,'Allocation'!$G$17)=0,L58*'Allocation'!$G$8,H58)</x:f>
        <x:v>52479.039180631546</x:v>
      </x:c>
      <x:c r="E59" s="43" t="n">
        <x:f>IF(MOD(ROW()-8,'Allocation'!$G$17)=0,L58*'Allocation'!$G$9,I58)</x:f>
        <x:v>26239.519590315773</x:v>
      </x:c>
      <x:c r="F59" s="43" t="n">
        <x:f>IF(MOD(ROW()-8,'Allocation'!$G$17)=0,L58*'Allocation'!$G$10,J58)</x:f>
        <x:v>39359.27938547365</x:v>
      </x:c>
      <x:c r="G59" s="43" t="n">
        <x:f>IF(MOD(ROW()-8,'Allocation'!$G$17)=0,L58*'Allocation'!$G$11,K58)</x:f>
        <x:v>13119.759795157886</x:v>
      </x:c>
      <x:c r="H59" s="43" t="n">
        <x:f>D59*(1+'Monthly'!D60)</x:f>
        <x:v>52122.05996283235</x:v>
      </x:c>
      <x:c r="I59" s="43" t="n">
        <x:f>E59*(1+'Monthly'!E60)</x:f>
        <x:v>27346.8273170271</x:v>
      </x:c>
      <x:c r="J59" s="43" t="n">
        <x:f>F59*(1+'Monthly'!F60)</x:f>
        <x:v>39512.780575077</x:v>
      </x:c>
      <x:c r="K59" s="43" t="n">
        <x:f>G59*(1+'Monthly'!G60)</x:f>
        <x:v>13904.321430908329</x:v>
      </x:c>
      <x:c r="L59" s="44" t="n">
        <x:f>SUM(H59:K59)</x:f>
        <x:v>132885.9892858448</x:v>
      </x:c>
      <x:c r="M59" s="43" t="n">
        <x:f>IF(MOD(ROW()-8,'Allocation'!$G$17)=0,U58*'Allocation'!$H$8,Q58)</x:f>
        <x:v>78075.33192845309</x:v>
      </x:c>
      <x:c r="N59" s="43" t="n">
        <x:f>IF(MOD(ROW()-8,'Allocation'!$G$17)=0,U58*'Allocation'!$H$9,R58)</x:f>
        <x:v>0</x:v>
      </x:c>
      <x:c r="O59" s="43" t="n">
        <x:f>IF(MOD(ROW()-8,'Allocation'!$G$17)=0,U58*'Allocation'!$H$10,S58)</x:f>
        <x:v>52050.2212856354</x:v>
      </x:c>
      <x:c r="P59" s="43" t="n">
        <x:f>IF(MOD(ROW()-8,'Allocation'!$G$17)=0,U58*'Allocation'!$H$11,T58)</x:f>
        <x:v>0</x:v>
      </x:c>
      <x:c r="Q59" s="43" t="n">
        <x:f>M59*(1+'Monthly'!D60)</x:f>
        <x:v>77544.23853656954</x:v>
      </x:c>
      <x:c r="R59" s="43" t="n">
        <x:f>N59*(1+'Monthly'!E60)</x:f>
        <x:v>0</x:v>
      </x:c>
      <x:c r="S59" s="43" t="n">
        <x:f>O59*(1+'Monthly'!F60)</x:f>
        <x:v>52253.21714864938</x:v>
      </x:c>
      <x:c r="T59" s="43" t="n">
        <x:f>P59*(1+'Monthly'!G60)</x:f>
        <x:v>0</x:v>
      </x:c>
      <x:c r="U59" s="44" t="n">
        <x:f>SUM(Q59:T59)</x:f>
        <x:v>129797.45568521891</x:v>
      </x:c>
      <x:c r="V59" s="21" t="n">
        <x:f>L59/SUM(D59:G59)-1</x:f>
        <x:v>0.012869072000000203</x:v>
      </x:c>
      <x:c r="W59" s="21" t="n">
        <x:f>U59/SUM(M59:P59)-1</x:f>
        <x:v>-0.002521392000000011</x:v>
      </x:c>
      <x:c r="X59" s="44" t="n">
        <x:f>H59-D59</x:f>
        <x:v>-356.9792177991985</x:v>
      </x:c>
      <x:c r="Y59" s="44" t="n">
        <x:f>I59-E59</x:f>
        <x:v>1107.3077267113258</x:v>
      </x:c>
      <x:c r="Z59" s="44" t="n">
        <x:f>J59-F59</x:f>
        <x:v>153.50118960334657</x:v>
      </x:c>
      <x:c r="AA59" s="44" t="n">
        <x:f>K59-G59</x:f>
        <x:v>784.5616357504423</x:v>
      </x:c>
      <x:c r="AB59" s="44" t="n">
        <x:f>(ABS(D59-H58)+ABS(E59-I58)+ABS(F59-J58)+ABS(G59-K58))/2</x:f>
        <x:v>3495.3601736456267</x:v>
      </x:c>
    </x:row>
    <x:row r="60" ht="22" customHeight="1">
      <x:c r="A60" s="2"/>
      <x:c r="B60" s="2"/>
      <x:c r="C60" s="42" t="n">
        <x:f>'Monthly'!C61</x:f>
        <x:v>45808</x:v>
      </x:c>
      <x:c r="D60" s="43" t="n">
        <x:f>IF(MOD(ROW()-8,'Allocation'!$G$17)=0,L59*'Allocation'!$G$8,H59)</x:f>
        <x:v>52122.05996283235</x:v>
      </x:c>
      <x:c r="E60" s="43" t="n">
        <x:f>IF(MOD(ROW()-8,'Allocation'!$G$17)=0,L59*'Allocation'!$G$9,I59)</x:f>
        <x:v>27346.8273170271</x:v>
      </x:c>
      <x:c r="F60" s="43" t="n">
        <x:f>IF(MOD(ROW()-8,'Allocation'!$G$17)=0,L59*'Allocation'!$G$10,J59)</x:f>
        <x:v>39512.780575077</x:v>
      </x:c>
      <x:c r="G60" s="43" t="n">
        <x:f>IF(MOD(ROW()-8,'Allocation'!$G$17)=0,L59*'Allocation'!$G$11,K59)</x:f>
        <x:v>13904.321430908329</x:v>
      </x:c>
      <x:c r="H60" s="43" t="n">
        <x:f>D60*(1+'Monthly'!D61)</x:f>
        <x:v>55401.75666947703</x:v>
      </x:c>
      <x:c r="I60" s="43" t="n">
        <x:f>E60*(1+'Monthly'!E61)</x:f>
        <x:v>28645.80161458589</x:v>
      </x:c>
      <x:c r="J60" s="43" t="n">
        <x:f>F60*(1+'Monthly'!F61)</x:f>
        <x:v>39228.288554936444</x:v>
      </x:c>
      <x:c r="K60" s="43" t="n">
        <x:f>G60*(1+'Monthly'!G61)</x:f>
        <x:v>13798.231458390497</x:v>
      </x:c>
      <x:c r="L60" s="44" t="n">
        <x:f>SUM(H60:K60)</x:f>
        <x:v>137074.07829738987</x:v>
      </x:c>
      <x:c r="M60" s="43" t="n">
        <x:f>IF(MOD(ROW()-8,'Allocation'!$G$17)=0,U59*'Allocation'!$H$8,Q59)</x:f>
        <x:v>77544.23853656954</x:v>
      </x:c>
      <x:c r="N60" s="43" t="n">
        <x:f>IF(MOD(ROW()-8,'Allocation'!$G$17)=0,U59*'Allocation'!$H$9,R59)</x:f>
        <x:v>0</x:v>
      </x:c>
      <x:c r="O60" s="43" t="n">
        <x:f>IF(MOD(ROW()-8,'Allocation'!$G$17)=0,U59*'Allocation'!$H$10,S59)</x:f>
        <x:v>52253.21714864938</x:v>
      </x:c>
      <x:c r="P60" s="43" t="n">
        <x:f>IF(MOD(ROW()-8,'Allocation'!$G$17)=0,U59*'Allocation'!$H$11,T59)</x:f>
        <x:v>0</x:v>
      </x:c>
      <x:c r="Q60" s="43" t="n">
        <x:f>M60*(1+'Monthly'!D61)</x:f>
        <x:v>82423.58490025913</x:v>
      </x:c>
      <x:c r="R60" s="43" t="n">
        <x:f>N60*(1+'Monthly'!E61)</x:f>
        <x:v>0</x:v>
      </x:c>
      <x:c r="S60" s="43" t="n">
        <x:f>O60*(1+'Monthly'!F61)</x:f>
        <x:v>51876.993985179106</x:v>
      </x:c>
      <x:c r="T60" s="43" t="n">
        <x:f>P60*(1+'Monthly'!G61)</x:f>
        <x:v>0</x:v>
      </x:c>
      <x:c r="U60" s="44" t="n">
        <x:f>SUM(Q60:T60)</x:f>
        <x:v>134300.57888543824</x:v>
      </x:c>
      <x:c r="V60" s="21" t="n">
        <x:f>L60/SUM(D60:G60)-1</x:f>
        <x:v>0.031516407666848156</x:v>
      </x:c>
      <x:c r="W60" s="21" t="n">
        <x:f>U60/SUM(M60:P60)-1</x:f>
        <x:v>0.03469346279899477</x:v>
      </x:c>
      <x:c r="X60" s="44" t="n">
        <x:f>H60-D60</x:f>
        <x:v>3279.6967066446814</x:v>
      </x:c>
      <x:c r="Y60" s="44" t="n">
        <x:f>I60-E60</x:f>
        <x:v>1298.9742975587906</x:v>
      </x:c>
      <x:c r="Z60" s="44" t="n">
        <x:f>J60-F60</x:f>
        <x:v>-284.4920201405548</x:v>
      </x:c>
      <x:c r="AA60" s="44" t="n">
        <x:f>K60-G60</x:f>
        <x:v>-106.08997251783148</x:v>
      </x:c>
      <x:c r="AB60" s="44" t="n">
        <x:f>(ABS(D60-H59)+ABS(E60-I59)+ABS(F60-J59)+ABS(G60-K59))/2</x:f>
        <x:v>0</x:v>
      </x:c>
    </x:row>
    <x:row r="61" ht="22" customHeight="1">
      <x:c r="A61" s="2"/>
      <x:c r="B61" s="2"/>
      <x:c r="C61" s="42" t="n">
        <x:f>'Monthly'!C62</x:f>
        <x:v>45838</x:v>
      </x:c>
      <x:c r="D61" s="43" t="n">
        <x:f>IF(MOD(ROW()-8,'Allocation'!$G$17)=0,L60*'Allocation'!$G$8,H60)</x:f>
        <x:v>55401.75666947703</x:v>
      </x:c>
      <x:c r="E61" s="43" t="n">
        <x:f>IF(MOD(ROW()-8,'Allocation'!$G$17)=0,L60*'Allocation'!$G$9,I60)</x:f>
        <x:v>28645.80161458589</x:v>
      </x:c>
      <x:c r="F61" s="43" t="n">
        <x:f>IF(MOD(ROW()-8,'Allocation'!$G$17)=0,L60*'Allocation'!$G$10,J60)</x:f>
        <x:v>39228.288554936444</x:v>
      </x:c>
      <x:c r="G61" s="43" t="n">
        <x:f>IF(MOD(ROW()-8,'Allocation'!$G$17)=0,L60*'Allocation'!$G$11,K60)</x:f>
        <x:v>13798.231458390497</x:v>
      </x:c>
      <x:c r="H61" s="43" t="n">
        <x:f>D61*(1+'Monthly'!D62)</x:f>
        <x:v>58218.41688165994</x:v>
      </x:c>
      <x:c r="I61" s="43" t="n">
        <x:f>E61*(1+'Monthly'!E62)</x:f>
        <x:v>29462.206960601587</x:v>
      </x:c>
      <x:c r="J61" s="43" t="n">
        <x:f>F61*(1+'Monthly'!F62)</x:f>
        <x:v>39832.40419868247</x:v>
      </x:c>
      <x:c r="K61" s="43" t="n">
        <x:f>G61*(1+'Monthly'!G62)</x:f>
        <x:v>13837.004488788574</x:v>
      </x:c>
      <x:c r="L61" s="44" t="n">
        <x:f>SUM(H61:K61)</x:f>
        <x:v>141350.03252973256</x:v>
      </x:c>
      <x:c r="M61" s="43" t="n">
        <x:f>IF(MOD(ROW()-8,'Allocation'!$G$17)=0,U60*'Allocation'!$H$8,Q60)</x:f>
        <x:v>82423.58490025913</x:v>
      </x:c>
      <x:c r="N61" s="43" t="n">
        <x:f>IF(MOD(ROW()-8,'Allocation'!$G$17)=0,U60*'Allocation'!$H$9,R60)</x:f>
        <x:v>0</x:v>
      </x:c>
      <x:c r="O61" s="43" t="n">
        <x:f>IF(MOD(ROW()-8,'Allocation'!$G$17)=0,U60*'Allocation'!$H$10,S60)</x:f>
        <x:v>51876.993985179106</x:v>
      </x:c>
      <x:c r="P61" s="43" t="n">
        <x:f>IF(MOD(ROW()-8,'Allocation'!$G$17)=0,U60*'Allocation'!$H$11,T60)</x:f>
        <x:v>0</x:v>
      </x:c>
      <x:c r="Q61" s="43" t="n">
        <x:f>M61*(1+'Monthly'!D62)</x:f>
        <x:v>86614.05188344678</x:v>
      </x:c>
      <x:c r="R61" s="43" t="n">
        <x:f>N61*(1+'Monthly'!E62)</x:f>
        <x:v>0</x:v>
      </x:c>
      <x:c r="S61" s="43" t="n">
        <x:f>O61*(1+'Monthly'!F62)</x:f>
        <x:v>52675.89969255087</x:v>
      </x:c>
      <x:c r="T61" s="43" t="n">
        <x:f>P61*(1+'Monthly'!G62)</x:f>
        <x:v>0</x:v>
      </x:c>
      <x:c r="U61" s="44" t="n">
        <x:f>SUM(Q61:T61)</x:f>
        <x:v>139289.95157599763</x:v>
      </x:c>
      <x:c r="V61" s="21" t="n">
        <x:f>L61/SUM(D61:G61)-1</x:f>
        <x:v>0.031194477361837558</x:v>
      </x:c>
      <x:c r="W61" s="21" t="n">
        <x:f>U61/SUM(M61:P61)-1</x:f>
        <x:v>0.037150790651583554</x:v>
      </x:c>
      <x:c r="X61" s="44" t="n">
        <x:f>H61-D61</x:f>
        <x:v>2816.660212182913</x:v>
      </x:c>
      <x:c r="Y61" s="44" t="n">
        <x:f>I61-E61</x:f>
        <x:v>816.4053460156974</x:v>
      </x:c>
      <x:c r="Z61" s="44" t="n">
        <x:f>J61-F61</x:f>
        <x:v>604.1156437460231</x:v>
      </x:c>
      <x:c r="AA61" s="44" t="n">
        <x:f>K61-G61</x:f>
        <x:v>38.773030398077026</x:v>
      </x:c>
      <x:c r="AB61" s="44" t="n">
        <x:f>(ABS(D61-H60)+ABS(E61-I60)+ABS(F61-J60)+ABS(G61-K60))/2</x:f>
        <x:v>0</x:v>
      </x:c>
    </x:row>
    <x:row r="62" ht="22" customHeight="1">
      <x:c r="A62" s="2"/>
      <x:c r="B62" s="2"/>
      <x:c r="C62" s="42" t="n">
        <x:f>'Monthly'!C63</x:f>
        <x:v>45869</x:v>
      </x:c>
      <x:c r="D62" s="43" t="n">
        <x:f>IF(MOD(ROW()-8,'Allocation'!$G$17)=0,L61*'Allocation'!$G$8,H61)</x:f>
        <x:v>56540.013011893025</x:v>
      </x:c>
      <x:c r="E62" s="43" t="n">
        <x:f>IF(MOD(ROW()-8,'Allocation'!$G$17)=0,L61*'Allocation'!$G$9,I61)</x:f>
        <x:v>28270.006505946512</x:v>
      </x:c>
      <x:c r="F62" s="43" t="n">
        <x:f>IF(MOD(ROW()-8,'Allocation'!$G$17)=0,L61*'Allocation'!$G$10,J61)</x:f>
        <x:v>42405.00975891977</x:v>
      </x:c>
      <x:c r="G62" s="43" t="n">
        <x:f>IF(MOD(ROW()-8,'Allocation'!$G$17)=0,L61*'Allocation'!$G$11,K61)</x:f>
        <x:v>14135.003252973256</x:v>
      </x:c>
      <x:c r="H62" s="43" t="n">
        <x:f>D62*(1+'Monthly'!D63)</x:f>
        <x:v>57806.05981025599</x:v>
      </x:c>
      <x:c r="I62" s="43" t="n">
        <x:f>E62*(1+'Monthly'!E63)</x:f>
        <x:v>27622.623356960336</x:v>
      </x:c>
      <x:c r="J62" s="43" t="n">
        <x:f>F62*(1+'Monthly'!F63)</x:f>
        <x:v>42298.997234522474</x:v>
      </x:c>
      <x:c r="K62" s="43" t="n">
        <x:f>G62*(1+'Monthly'!G63)</x:f>
        <x:v>14180.942013545418</x:v>
      </x:c>
      <x:c r="L62" s="44" t="n">
        <x:f>SUM(H62:K62)</x:f>
        <x:v>141908.62241528422</x:v>
      </x:c>
      <x:c r="M62" s="43" t="n">
        <x:f>IF(MOD(ROW()-8,'Allocation'!$G$17)=0,U61*'Allocation'!$H$8,Q61)</x:f>
        <x:v>83573.97094559857</x:v>
      </x:c>
      <x:c r="N62" s="43" t="n">
        <x:f>IF(MOD(ROW()-8,'Allocation'!$G$17)=0,U61*'Allocation'!$H$9,R61)</x:f>
        <x:v>0</x:v>
      </x:c>
      <x:c r="O62" s="43" t="n">
        <x:f>IF(MOD(ROW()-8,'Allocation'!$G$17)=0,U61*'Allocation'!$H$10,S61)</x:f>
        <x:v>55715.980630399055</x:v>
      </x:c>
      <x:c r="P62" s="43" t="n">
        <x:f>IF(MOD(ROW()-8,'Allocation'!$G$17)=0,U61*'Allocation'!$H$11,T61)</x:f>
        <x:v>0</x:v>
      </x:c>
      <x:c r="Q62" s="43" t="n">
        <x:f>M62*(1+'Monthly'!D63)</x:f>
        <x:v>85445.36348171097</x:v>
      </x:c>
      <x:c r="R62" s="43" t="n">
        <x:f>N62*(1+'Monthly'!E63)</x:f>
        <x:v>0</x:v>
      </x:c>
      <x:c r="S62" s="43" t="n">
        <x:f>O62*(1+'Monthly'!F63)</x:f>
        <x:v>55576.69067882306</x:v>
      </x:c>
      <x:c r="T62" s="43" t="n">
        <x:f>P62*(1+'Monthly'!G63)</x:f>
        <x:v>0</x:v>
      </x:c>
      <x:c r="U62" s="44" t="n">
        <x:f>SUM(Q62:T62)</x:f>
        <x:v>141022.05416053403</x:v>
      </x:c>
      <x:c r="V62" s="21" t="n">
        <x:f>L62/SUM(D62:G62)-1</x:f>
        <x:v>0.003951820000000161</x:v>
      </x:c>
      <x:c r="W62" s="21" t="n">
        <x:f>U62/SUM(M62:P62)-1</x:f>
        <x:v>0.012435229999999908</x:v>
      </x:c>
      <x:c r="X62" s="44" t="n">
        <x:f>H62-D62</x:f>
        <x:v>1266.0467983629642</x:v>
      </x:c>
      <x:c r="Y62" s="44" t="n">
        <x:f>I62-E62</x:f>
        <x:v>-647.3831489861768</x:v>
      </x:c>
      <x:c r="Z62" s="44" t="n">
        <x:f>J62-F62</x:f>
        <x:v>-106.01252439729433</x:v>
      </x:c>
      <x:c r="AA62" s="44" t="n">
        <x:f>K62-G62</x:f>
        <x:v>45.93876057216221</x:v>
      </x:c>
      <x:c r="AB62" s="44" t="n">
        <x:f>(ABS(D62-H61)+ABS(E62-I61)+ABS(F62-J61)+ABS(G62-K61))/2</x:f>
        <x:v>2870.6043244219873</x:v>
      </x:c>
    </x:row>
    <x:row r="63" ht="22" customHeight="1">
      <x:c r="A63" s="2"/>
      <x:c r="B63" s="2"/>
      <x:c r="C63" s="42" t="n">
        <x:f>'Monthly'!C64</x:f>
        <x:v>45900</x:v>
      </x:c>
      <x:c r="D63" s="43" t="n">
        <x:f>IF(MOD(ROW()-8,'Allocation'!$G$17)=0,L62*'Allocation'!$G$8,H62)</x:f>
        <x:v>57806.05981025599</x:v>
      </x:c>
      <x:c r="E63" s="43" t="n">
        <x:f>IF(MOD(ROW()-8,'Allocation'!$G$17)=0,L62*'Allocation'!$G$9,I62)</x:f>
        <x:v>27622.623356960336</x:v>
      </x:c>
      <x:c r="F63" s="43" t="n">
        <x:f>IF(MOD(ROW()-8,'Allocation'!$G$17)=0,L62*'Allocation'!$G$10,J62)</x:f>
        <x:v>42298.997234522474</x:v>
      </x:c>
      <x:c r="G63" s="43" t="n">
        <x:f>IF(MOD(ROW()-8,'Allocation'!$G$17)=0,L62*'Allocation'!$G$11,K62)</x:f>
        <x:v>14180.942013545418</x:v>
      </x:c>
      <x:c r="H63" s="43" t="n">
        <x:f>D63*(1+'Monthly'!D64)</x:f>
        <x:v>58976.96953074237</x:v>
      </x:c>
      <x:c r="I63" s="43" t="n">
        <x:f>E63*(1+'Monthly'!E64)</x:f>
        <x:v>28954.033802765825</x:v>
      </x:c>
      <x:c r="J63" s="43" t="n">
        <x:f>F63*(1+'Monthly'!F64)</x:f>
        <x:v>42798.12540188984</x:v>
      </x:c>
      <x:c r="K63" s="43" t="n">
        <x:f>G63*(1+'Monthly'!G64)</x:f>
        <x:v>14738.253034677751</x:v>
      </x:c>
      <x:c r="L63" s="44" t="n">
        <x:f>SUM(H63:K63)</x:f>
        <x:v>145467.3817700758</x:v>
      </x:c>
      <x:c r="M63" s="43" t="n">
        <x:f>IF(MOD(ROW()-8,'Allocation'!$G$17)=0,U62*'Allocation'!$H$8,Q62)</x:f>
        <x:v>85445.36348171097</x:v>
      </x:c>
      <x:c r="N63" s="43" t="n">
        <x:f>IF(MOD(ROW()-8,'Allocation'!$G$17)=0,U62*'Allocation'!$H$9,R62)</x:f>
        <x:v>0</x:v>
      </x:c>
      <x:c r="O63" s="43" t="n">
        <x:f>IF(MOD(ROW()-8,'Allocation'!$G$17)=0,U62*'Allocation'!$H$10,S62)</x:f>
        <x:v>55576.69067882306</x:v>
      </x:c>
      <x:c r="P63" s="43" t="n">
        <x:f>IF(MOD(ROW()-8,'Allocation'!$G$17)=0,U62*'Allocation'!$H$11,T62)</x:f>
        <x:v>0</x:v>
      </x:c>
      <x:c r="Q63" s="43" t="n">
        <x:f>M63*(1+'Monthly'!D64)</x:f>
        <x:v>87176.13023868471</x:v>
      </x:c>
      <x:c r="R63" s="43" t="n">
        <x:f>N63*(1+'Monthly'!E64)</x:f>
        <x:v>0</x:v>
      </x:c>
      <x:c r="S63" s="43" t="n">
        <x:f>O63*(1+'Monthly'!F64)</x:f>
        <x:v>56232.495628833174</x:v>
      </x:c>
      <x:c r="T63" s="43" t="n">
        <x:f>P63*(1+'Monthly'!G64)</x:f>
        <x:v>0</x:v>
      </x:c>
      <x:c r="U63" s="44" t="n">
        <x:f>SUM(Q63:T63)</x:f>
        <x:v>143408.6258675179</x:v>
      </x:c>
      <x:c r="V63" s="21" t="n">
        <x:f>L63/SUM(D63:G63)-1</x:f>
        <x:v>0.025077823279667566</x:v>
      </x:c>
      <x:c r="W63" s="21" t="n">
        <x:f>U63/SUM(M63:P63)-1</x:f>
        <x:v>0.016923393445021695</x:v>
      </x:c>
      <x:c r="X63" s="44" t="n">
        <x:f>H63-D63</x:f>
        <x:v>1170.9097204863792</x:v>
      </x:c>
      <x:c r="Y63" s="44" t="n">
        <x:f>I63-E63</x:f>
        <x:v>1331.4104458054899</x:v>
      </x:c>
      <x:c r="Z63" s="44" t="n">
        <x:f>J63-F63</x:f>
        <x:v>499.1281673673657</x:v>
      </x:c>
      <x:c r="AA63" s="44" t="n">
        <x:f>K63-G63</x:f>
        <x:v>557.3110211323328</x:v>
      </x:c>
      <x:c r="AB63" s="44" t="n">
        <x:f>(ABS(D63-H62)+ABS(E63-I62)+ABS(F63-J62)+ABS(G63-K62))/2</x:f>
        <x:v>0</x:v>
      </x:c>
    </x:row>
    <x:row r="64" ht="22" customHeight="1">
      <x:c r="A64" s="2"/>
      <x:c r="B64" s="2"/>
      <x:c r="C64" s="42" t="n">
        <x:f>'Monthly'!C65</x:f>
        <x:v>45930</x:v>
      </x:c>
      <x:c r="D64" s="43" t="n">
        <x:f>IF(MOD(ROW()-8,'Allocation'!$G$17)=0,L63*'Allocation'!$G$8,H63)</x:f>
        <x:v>58976.96953074237</x:v>
      </x:c>
      <x:c r="E64" s="43" t="n">
        <x:f>IF(MOD(ROW()-8,'Allocation'!$G$17)=0,L63*'Allocation'!$G$9,I63)</x:f>
        <x:v>28954.033802765825</x:v>
      </x:c>
      <x:c r="F64" s="43" t="n">
        <x:f>IF(MOD(ROW()-8,'Allocation'!$G$17)=0,L63*'Allocation'!$G$10,J63)</x:f>
        <x:v>42798.12540188984</x:v>
      </x:c>
      <x:c r="G64" s="43" t="n">
        <x:f>IF(MOD(ROW()-8,'Allocation'!$G$17)=0,L63*'Allocation'!$G$11,K63)</x:f>
        <x:v>14738.253034677751</x:v>
      </x:c>
      <x:c r="H64" s="43" t="n">
        <x:f>D64*(1+'Monthly'!D65)</x:f>
        <x:v>61129.87072418954</x:v>
      </x:c>
      <x:c r="I64" s="43" t="n">
        <x:f>E64*(1+'Monthly'!E65)</x:f>
        <x:v>29640.244403891378</x:v>
      </x:c>
      <x:c r="J64" s="43" t="n">
        <x:f>F64*(1+'Monthly'!F65)</x:f>
        <x:v>43268.90478131062</x:v>
      </x:c>
      <x:c r="K64" s="43" t="n">
        <x:f>G64*(1+'Monthly'!G65)</x:f>
        <x:v>16437.573609576095</x:v>
      </x:c>
      <x:c r="L64" s="44" t="n">
        <x:f>SUM(H64:K64)</x:f>
        <x:v>150476.59351896762</x:v>
      </x:c>
      <x:c r="M64" s="43" t="n">
        <x:f>IF(MOD(ROW()-8,'Allocation'!$G$17)=0,U63*'Allocation'!$H$8,Q63)</x:f>
        <x:v>87176.13023868471</x:v>
      </x:c>
      <x:c r="N64" s="43" t="n">
        <x:f>IF(MOD(ROW()-8,'Allocation'!$G$17)=0,U63*'Allocation'!$H$9,R63)</x:f>
        <x:v>0</x:v>
      </x:c>
      <x:c r="O64" s="43" t="n">
        <x:f>IF(MOD(ROW()-8,'Allocation'!$G$17)=0,U63*'Allocation'!$H$10,S63)</x:f>
        <x:v>56232.495628833174</x:v>
      </x:c>
      <x:c r="P64" s="43" t="n">
        <x:f>IF(MOD(ROW()-8,'Allocation'!$G$17)=0,U63*'Allocation'!$H$11,T63)</x:f>
        <x:v>0</x:v>
      </x:c>
      <x:c r="Q64" s="43" t="n">
        <x:f>M64*(1+'Monthly'!D65)</x:f>
        <x:v>90358.41641453067</x:v>
      </x:c>
      <x:c r="R64" s="43" t="n">
        <x:f>N64*(1+'Monthly'!E65)</x:f>
        <x:v>0</x:v>
      </x:c>
      <x:c r="S64" s="43" t="n">
        <x:f>O64*(1+'Monthly'!F65)</x:f>
        <x:v>56851.05308075033</x:v>
      </x:c>
      <x:c r="T64" s="43" t="n">
        <x:f>P64*(1+'Monthly'!G65)</x:f>
        <x:v>0</x:v>
      </x:c>
      <x:c r="U64" s="44" t="n">
        <x:f>SUM(Q64:T64)</x:f>
        <x:v>147209.469495281</x:v>
      </x:c>
      <x:c r="V64" s="21" t="n">
        <x:f>L64/SUM(D64:G64)-1</x:f>
        <x:v>0.03443529187051242</x:v>
      </x:c>
      <x:c r="W64" s="21" t="n">
        <x:f>U64/SUM(M64:P64)-1</x:f>
        <x:v>0.02650359143162251</x:v>
      </x:c>
      <x:c r="X64" s="44" t="n">
        <x:f>H64-D64</x:f>
        <x:v>2152.901193447171</x:v>
      </x:c>
      <x:c r="Y64" s="44" t="n">
        <x:f>I64-E64</x:f>
        <x:v>686.2106011255528</x:v>
      </x:c>
      <x:c r="Z64" s="44" t="n">
        <x:f>J64-F64</x:f>
        <x:v>470.7793794207828</x:v>
      </x:c>
      <x:c r="AA64" s="44" t="n">
        <x:f>K64-G64</x:f>
        <x:v>1699.3205748983437</x:v>
      </x:c>
      <x:c r="AB64" s="44" t="n">
        <x:f>(ABS(D64-H63)+ABS(E64-I63)+ABS(F64-J63)+ABS(G64-K63))/2</x:f>
        <x:v>0</x:v>
      </x:c>
    </x:row>
    <x:row r="65" ht="22" customHeight="1">
      <x:c r="A65" s="2"/>
      <x:c r="B65" s="2"/>
      <x:c r="C65" s="42" t="n">
        <x:f>'Monthly'!C66</x:f>
        <x:v>45961</x:v>
      </x:c>
      <x:c r="D65" s="43" t="n">
        <x:f>IF(MOD(ROW()-8,'Allocation'!$G$17)=0,L64*'Allocation'!$G$8,H64)</x:f>
        <x:v>60190.637407587055</x:v>
      </x:c>
      <x:c r="E65" s="43" t="n">
        <x:f>IF(MOD(ROW()-8,'Allocation'!$G$17)=0,L64*'Allocation'!$G$9,I64)</x:f>
        <x:v>30095.318703793528</x:v>
      </x:c>
      <x:c r="F65" s="43" t="n">
        <x:f>IF(MOD(ROW()-8,'Allocation'!$G$17)=0,L64*'Allocation'!$G$10,J64)</x:f>
        <x:v>45142.978055690284</x:v>
      </x:c>
      <x:c r="G65" s="43" t="n">
        <x:f>IF(MOD(ROW()-8,'Allocation'!$G$17)=0,L64*'Allocation'!$G$11,K64)</x:f>
        <x:v>15047.659351896764</x:v>
      </x:c>
      <x:c r="H65" s="43" t="n">
        <x:f>D65*(1+'Monthly'!D66)</x:f>
        <x:v>61599.14105827715</x:v>
      </x:c>
      <x:c r="I65" s="43" t="n">
        <x:f>E65*(1+'Monthly'!E66)</x:f>
        <x:v>30299.966870979322</x:v>
      </x:c>
      <x:c r="J65" s="43" t="n">
        <x:f>F65*(1+'Monthly'!F66)</x:f>
        <x:v>45422.864519635565</x:v>
      </x:c>
      <x:c r="K65" s="43" t="n">
        <x:f>G65*(1+'Monthly'!G66)</x:f>
        <x:v>15776.86892408968</x:v>
      </x:c>
      <x:c r="L65" s="44" t="n">
        <x:f>SUM(H65:K65)</x:f>
        <x:v>153098.8413729817</x:v>
      </x:c>
      <x:c r="M65" s="43" t="n">
        <x:f>IF(MOD(ROW()-8,'Allocation'!$G$17)=0,U64*'Allocation'!$H$8,Q64)</x:f>
        <x:v>88325.68169716859</x:v>
      </x:c>
      <x:c r="N65" s="43" t="n">
        <x:f>IF(MOD(ROW()-8,'Allocation'!$G$17)=0,U64*'Allocation'!$H$9,R64)</x:f>
        <x:v>0</x:v>
      </x:c>
      <x:c r="O65" s="43" t="n">
        <x:f>IF(MOD(ROW()-8,'Allocation'!$G$17)=0,U64*'Allocation'!$H$10,S64)</x:f>
        <x:v>58883.787798112404</x:v>
      </x:c>
      <x:c r="P65" s="43" t="n">
        <x:f>IF(MOD(ROW()-8,'Allocation'!$G$17)=0,U64*'Allocation'!$H$11,T64)</x:f>
        <x:v>0</x:v>
      </x:c>
      <x:c r="Q65" s="43" t="n">
        <x:f>M65*(1+'Monthly'!D66)</x:f>
        <x:v>90392.56536011634</x:v>
      </x:c>
      <x:c r="R65" s="43" t="n">
        <x:f>N65*(1+'Monthly'!E66)</x:f>
        <x:v>0</x:v>
      </x:c>
      <x:c r="S65" s="43" t="n">
        <x:f>O65*(1+'Monthly'!F66)</x:f>
        <x:v>59248.8672824607</x:v>
      </x:c>
      <x:c r="T65" s="43" t="n">
        <x:f>P65*(1+'Monthly'!G66)</x:f>
        <x:v>0</x:v>
      </x:c>
      <x:c r="U65" s="44" t="n">
        <x:f>SUM(Q65:T65)</x:f>
        <x:v>149641.43264257704</x:v>
      </x:c>
      <x:c r="V65" s="21" t="n">
        <x:f>L65/SUM(D65:G65)-1</x:f>
        <x:v>0.017426283999999903</x:v>
      </x:c>
      <x:c r="W65" s="21" t="n">
        <x:f>U65/SUM(M65:P65)-1</x:f>
        <x:v>0.016520426000000032</x:v>
      </x:c>
      <x:c r="X65" s="44" t="n">
        <x:f>H65-D65</x:f>
        <x:v>1408.5036506900942</x:v>
      </x:c>
      <x:c r="Y65" s="44" t="n">
        <x:f>I65-E65</x:f>
        <x:v>204.6481671857946</x:v>
      </x:c>
      <x:c r="Z65" s="44" t="n">
        <x:f>J65-F65</x:f>
        <x:v>279.8864639452804</x:v>
      </x:c>
      <x:c r="AA65" s="44" t="n">
        <x:f>K65-G65</x:f>
        <x:v>729.2095721929163</x:v>
      </x:c>
      <x:c r="AB65" s="44" t="n">
        <x:f>(ABS(D65-H64)+ABS(E65-I64)+ABS(F65-J64)+ABS(G65-K64))/2</x:f>
        <x:v>2329.147574281813</x:v>
      </x:c>
    </x:row>
    <x:row r="66" ht="22" customHeight="1">
      <x:c r="A66" s="2"/>
      <x:c r="B66" s="2"/>
      <x:c r="C66" s="42" t="n">
        <x:f>'Monthly'!C67</x:f>
        <x:v>45991</x:v>
      </x:c>
      <x:c r="D66" s="43" t="n">
        <x:f>IF(MOD(ROW()-8,'Allocation'!$G$17)=0,L65*'Allocation'!$G$8,H65)</x:f>
        <x:v>61599.14105827715</x:v>
      </x:c>
      <x:c r="E66" s="43" t="n">
        <x:f>IF(MOD(ROW()-8,'Allocation'!$G$17)=0,L65*'Allocation'!$G$9,I65)</x:f>
        <x:v>30299.966870979322</x:v>
      </x:c>
      <x:c r="F66" s="43" t="n">
        <x:f>IF(MOD(ROW()-8,'Allocation'!$G$17)=0,L65*'Allocation'!$G$10,J65)</x:f>
        <x:v>45422.864519635565</x:v>
      </x:c>
      <x:c r="G66" s="43" t="n">
        <x:f>IF(MOD(ROW()-8,'Allocation'!$G$17)=0,L65*'Allocation'!$G$11,K65)</x:f>
        <x:v>15776.86892408968</x:v>
      </x:c>
      <x:c r="H66" s="43" t="n">
        <x:f>D66*(1+'Monthly'!D67)</x:f>
        <x:v>61746.4079727794</x:v>
      </x:c>
      <x:c r="I66" s="43" t="n">
        <x:f>E66*(1+'Monthly'!E67)</x:f>
        <x:v>30541.704854670694</x:v>
      </x:c>
      <x:c r="J66" s="43" t="n">
        <x:f>F66*(1+'Monthly'!F67)</x:f>
        <x:v>45704.48627965731</x:v>
      </x:c>
      <x:c r="K66" s="43" t="n">
        <x:f>G66*(1+'Monthly'!G67)</x:f>
        <x:v>16479.886203347116</x:v>
      </x:c>
      <x:c r="L66" s="44" t="n">
        <x:f>SUM(H66:K66)</x:f>
        <x:v>154472.48531045453</x:v>
      </x:c>
      <x:c r="M66" s="43" t="n">
        <x:f>IF(MOD(ROW()-8,'Allocation'!$G$17)=0,U65*'Allocation'!$H$8,Q65)</x:f>
        <x:v>90392.56536011634</x:v>
      </x:c>
      <x:c r="N66" s="43" t="n">
        <x:f>IF(MOD(ROW()-8,'Allocation'!$G$17)=0,U65*'Allocation'!$H$9,R65)</x:f>
        <x:v>0</x:v>
      </x:c>
      <x:c r="O66" s="43" t="n">
        <x:f>IF(MOD(ROW()-8,'Allocation'!$G$17)=0,U65*'Allocation'!$H$10,S65)</x:f>
        <x:v>59248.8672824607</x:v>
      </x:c>
      <x:c r="P66" s="43" t="n">
        <x:f>IF(MOD(ROW()-8,'Allocation'!$G$17)=0,U65*'Allocation'!$H$11,T65)</x:f>
        <x:v>0</x:v>
      </x:c>
      <x:c r="Q66" s="43" t="n">
        <x:f>M66*(1+'Monthly'!D67)</x:f>
        <x:v>90608.66957789972</x:v>
      </x:c>
      <x:c r="R66" s="43" t="n">
        <x:f>N66*(1+'Monthly'!E67)</x:f>
        <x:v>0</x:v>
      </x:c>
      <x:c r="S66" s="43" t="n">
        <x:f>O66*(1+'Monthly'!F67)</x:f>
        <x:v>59616.21025961195</x:v>
      </x:c>
      <x:c r="T66" s="43" t="n">
        <x:f>P66*(1+'Monthly'!G67)</x:f>
        <x:v>0</x:v>
      </x:c>
      <x:c r="U66" s="44" t="n">
        <x:f>SUM(Q66:T66)</x:f>
        <x:v>150224.8798375117</x:v>
      </x:c>
      <x:c r="V66" s="21" t="n">
        <x:f>L66/SUM(D66:G66)-1</x:f>
        <x:v>0.008972268667444272</x:v>
      </x:c>
      <x:c r="W66" s="21" t="n">
        <x:f>U66/SUM(M66:P66)-1</x:f>
        <x:v>0.0038989682511809676</x:v>
      </x:c>
      <x:c r="X66" s="44" t="n">
        <x:f>H66-D66</x:f>
        <x:v>147.2669145022519</x:v>
      </x:c>
      <x:c r="Y66" s="44" t="n">
        <x:f>I66-E66</x:f>
        <x:v>241.73798369137148</x:v>
      </x:c>
      <x:c r="Z66" s="44" t="n">
        <x:f>J66-F66</x:f>
        <x:v>281.6217600217424</x:v>
      </x:c>
      <x:c r="AA66" s="44" t="n">
        <x:f>K66-G66</x:f>
        <x:v>703.0172792574358</x:v>
      </x:c>
      <x:c r="AB66" s="44" t="n">
        <x:f>(ABS(D66-H65)+ABS(E66-I65)+ABS(F66-J65)+ABS(G66-K65))/2</x:f>
        <x:v>0</x:v>
      </x:c>
    </x:row>
    <x:row r="67" ht="22" customHeight="1">
      <x:c r="A67" s="2"/>
      <x:c r="B67" s="2"/>
      <x:c r="C67" s="42" t="n">
        <x:f>'Monthly'!C68</x:f>
        <x:v>46022</x:v>
      </x:c>
      <x:c r="D67" s="43" t="n">
        <x:f>IF(MOD(ROW()-8,'Allocation'!$G$17)=0,L66*'Allocation'!$G$8,H66)</x:f>
        <x:v>61746.4079727794</x:v>
      </x:c>
      <x:c r="E67" s="43" t="n">
        <x:f>IF(MOD(ROW()-8,'Allocation'!$G$17)=0,L66*'Allocation'!$G$9,I66)</x:f>
        <x:v>30541.704854670694</x:v>
      </x:c>
      <x:c r="F67" s="43" t="n">
        <x:f>IF(MOD(ROW()-8,'Allocation'!$G$17)=0,L66*'Allocation'!$G$10,J66)</x:f>
        <x:v>45704.48627965731</x:v>
      </x:c>
      <x:c r="G67" s="43" t="n">
        <x:f>IF(MOD(ROW()-8,'Allocation'!$G$17)=0,L66*'Allocation'!$G$11,K66)</x:f>
        <x:v>16479.886203347116</x:v>
      </x:c>
      <x:c r="H67" s="43" t="n">
        <x:f>D67*(1+'Monthly'!D68)</x:f>
        <x:v>61782.41847790912</x:v>
      </x:c>
      <x:c r="I67" s="43" t="n">
        <x:f>E67*(1+'Monthly'!E68)</x:f>
        <x:v>31337.778667546365</x:v>
      </x:c>
      <x:c r="J67" s="43" t="n">
        <x:f>F67*(1+'Monthly'!F68)</x:f>
        <x:v>45594.79551258613</x:v>
      </x:c>
      <x:c r="K67" s="43" t="n">
        <x:f>G67*(1+'Monthly'!G68)</x:f>
        <x:v>16935.7198557317</x:v>
      </x:c>
      <x:c r="L67" s="44" t="n">
        <x:f>SUM(H67:K67)</x:f>
        <x:v>155650.71251377332</x:v>
      </x:c>
      <x:c r="M67" s="43" t="n">
        <x:f>IF(MOD(ROW()-8,'Allocation'!$G$17)=0,U66*'Allocation'!$H$8,Q66)</x:f>
        <x:v>90608.66957789972</x:v>
      </x:c>
      <x:c r="N67" s="43" t="n">
        <x:f>IF(MOD(ROW()-8,'Allocation'!$G$17)=0,U66*'Allocation'!$H$9,R66)</x:f>
        <x:v>0</x:v>
      </x:c>
      <x:c r="O67" s="43" t="n">
        <x:f>IF(MOD(ROW()-8,'Allocation'!$G$17)=0,U66*'Allocation'!$H$10,S66)</x:f>
        <x:v>59616.21025961195</x:v>
      </x:c>
      <x:c r="P67" s="43" t="n">
        <x:f>IF(MOD(ROW()-8,'Allocation'!$G$17)=0,U66*'Allocation'!$H$11,T66)</x:f>
        <x:v>0</x:v>
      </x:c>
      <x:c r="Q67" s="43" t="n">
        <x:f>M67*(1+'Monthly'!D68)</x:f>
        <x:v>90661.51255399754</x:v>
      </x:c>
      <x:c r="R67" s="43" t="n">
        <x:f>N67*(1+'Monthly'!E68)</x:f>
        <x:v>0</x:v>
      </x:c>
      <x:c r="S67" s="43" t="n">
        <x:f>O67*(1+'Monthly'!F68)</x:f>
        <x:v>59473.13135498889</x:v>
      </x:c>
      <x:c r="T67" s="43" t="n">
        <x:f>P67*(1+'Monthly'!G68)</x:f>
        <x:v>0</x:v>
      </x:c>
      <x:c r="U67" s="44" t="n">
        <x:f>SUM(Q67:T67)</x:f>
        <x:v>150134.6439089864</x:v>
      </x:c>
      <x:c r="V67" s="21" t="n">
        <x:f>L67/SUM(D67:G67)-1</x:f>
        <x:v>0.007627424398272797</x:v>
      </x:c>
      <x:c r="W67" s="21" t="n">
        <x:f>U67/SUM(M67:P67)-1</x:f>
        <x:v>-0.0006006723295294281</x:v>
      </x:c>
      <x:c r="X67" s="44" t="n">
        <x:f>H67-D67</x:f>
        <x:v>36.01050512972142</x:v>
      </x:c>
      <x:c r="Y67" s="44" t="n">
        <x:f>I67-E67</x:f>
        <x:v>796.0738128756711</x:v>
      </x:c>
      <x:c r="Z67" s="44" t="n">
        <x:f>J67-F67</x:f>
        <x:v>-109.69076707117347</x:v>
      </x:c>
      <x:c r="AA67" s="44" t="n">
        <x:f>K67-G67</x:f>
        <x:v>455.8336523845828</x:v>
      </x:c>
      <x:c r="AB67" s="44" t="n">
        <x:f>(ABS(D67-H66)+ABS(E67-I66)+ABS(F67-J66)+ABS(G67-K66))/2</x:f>
        <x:v>0</x:v>
      </x:c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AB3"/>
    <x:mergeCell ref="D6:G6"/>
    <x:mergeCell ref="H6:K6"/>
    <x:mergeCell ref="M6:P6"/>
    <x:mergeCell ref="Q6:T6"/>
    <x:mergeCell ref="X6:AA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1" customHeight="1">
      <x:c r="A2" s="2"/>
      <x:c r="B2" s="2"/>
      <x:c r="C2" s="3" t="str">
        <x:v>Monthly fund returns and methodology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9" customHeight="1">
      <x:c r="A3" s="2"/>
      <x:c r="B3" s="2"/>
      <x:c r="C3" s="6" t="str">
        <x:v>Official iShares NAV total returns. USD. Source precision retained. Data retrieved 8 September 2026.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/>
      <x:c r="B5" s="2"/>
      <x:c r="C5" s="2" t="str">
        <x:v>Opening valuation date</x:v>
      </x:c>
      <x:c r="D5" s="7" t="n">
        <x:v>44196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3" customHeight="1">
      <x:c r="A7" s="2"/>
      <x:c r="B7" s="2"/>
      <x:c r="C7" s="11" t="str">
        <x:v>Month end</x:v>
      </x:c>
      <x:c r="D7" s="11" t="str">
        <x:v>IVV</x:v>
      </x:c>
      <x:c r="E7" s="11" t="str">
        <x:v>IEFA</x:v>
      </x:c>
      <x:c r="F7" s="11" t="str">
        <x:v>AGG</x:v>
      </x:c>
      <x:c r="G7" s="11" t="str">
        <x:v>IAU</x:v>
      </x:c>
      <x:c r="H7" s="2"/>
      <x:c r="I7" s="11" t="str">
        <x:v>Source and method</x:v>
      </x:c>
      <x:c r="J7" s="2"/>
      <x:c r="K7" s="2"/>
      <x:c r="L7" s="2"/>
      <x:c r="M7" s="2"/>
      <x:c r="N7" s="2"/>
    </x:row>
    <x:row r="8" ht="22" customHeight="1">
      <x:c r="A8" s="2"/>
      <x:c r="B8" s="2"/>
      <x:c r="C8" s="14" t="n">
        <x:v>44227</x:v>
      </x:c>
      <x:c r="D8" s="15" t="n">
        <x:v>-0.0101</x:v>
      </x:c>
      <x:c r="E8" s="15" t="n">
        <x:v>-0.0095</x:v>
      </x:c>
      <x:c r="F8" s="15" t="n">
        <x:v>-0.0070999999999999995</x:v>
      </x:c>
      <x:c r="G8" s="15" t="n">
        <x:v>-0.015</x:v>
      </x:c>
      <x:c r="H8" s="2"/>
      <x:c r="I8" s="2"/>
      <x:c r="J8" s="2"/>
      <x:c r="K8" s="2"/>
      <x:c r="L8" s="2"/>
      <x:c r="M8" s="2"/>
      <x:c r="N8" s="2"/>
    </x:row>
    <x:row r="9" ht="27" customHeight="1">
      <x:c r="A9" s="2"/>
      <x:c r="B9" s="2"/>
      <x:c r="C9" s="14" t="n">
        <x:v>44255</x:v>
      </x:c>
      <x:c r="D9" s="15" t="n">
        <x:v>0.0275</x:v>
      </x:c>
      <x:c r="E9" s="15" t="n">
        <x:v>0.0233</x:v>
      </x:c>
      <x:c r="F9" s="15" t="n">
        <x:v>-0.0148</x:v>
      </x:c>
      <x:c r="G9" s="15" t="n">
        <x:v>-0.06480000000000001</x:v>
      </x:c>
      <x:c r="H9" s="2"/>
      <x:c r="I9" s="5" t="str">
        <x:v>IVV: iShares Core S&amp;P 500 ETF</x:v>
      </x:c>
      <x:c r="J9" s="5"/>
      <x:c r="K9" s="5"/>
      <x:c r="L9" s="5"/>
      <x:c r="M9" s="5"/>
      <x:c r="N9" s="5"/>
    </x:row>
    <x:row r="10" ht="47" customHeight="1">
      <x:c r="A10" s="2"/>
      <x:c r="B10" s="2"/>
      <x:c r="C10" s="14" t="n">
        <x:v>44286</x:v>
      </x:c>
      <x:c r="D10" s="15" t="n">
        <x:v>0.0437</x:v>
      </x:c>
      <x:c r="E10" s="15" t="n">
        <x:v>0.0233</x:v>
      </x:c>
      <x:c r="F10" s="15" t="n">
        <x:v>-0.0124</x:v>
      </x:c>
      <x:c r="G10" s="15" t="n">
        <x:v>-0.0301</x:v>
      </x:c>
      <x:c r="H10" s="2"/>
      <x:c r="I10" s="5" t="str">
        <x:v>https://www.ishares.com/us/products/239726/ishares-core-sp-500-etf</x:v>
      </x:c>
      <x:c r="J10" s="5"/>
      <x:c r="K10" s="5"/>
      <x:c r="L10" s="5"/>
      <x:c r="M10" s="5"/>
      <x:c r="N10" s="5"/>
    </x:row>
    <x:row r="11" ht="42" customHeight="1">
      <x:c r="A11" s="2"/>
      <x:c r="B11" s="2"/>
      <x:c r="C11" s="14" t="n">
        <x:v>44316</x:v>
      </x:c>
      <x:c r="D11" s="15" t="n">
        <x:v>0.0533</x:v>
      </x:c>
      <x:c r="E11" s="15" t="n">
        <x:v>0.032400000000000005</x:v>
      </x:c>
      <x:c r="F11" s="15" t="n">
        <x:v>0.0079</x:v>
      </x:c>
      <x:c r="G11" s="15" t="n">
        <x:v>0.0453</x:v>
      </x:c>
      <x:c r="H11" s="2"/>
      <x:c r="I11" s="5" t="str">
        <x:v>Data Download &gt; Performance &gt; Monthly Total (NAV) Return. Published percent divided by 100.</x:v>
      </x:c>
      <x:c r="J11" s="5"/>
      <x:c r="K11" s="5"/>
      <x:c r="L11" s="5"/>
      <x:c r="M11" s="5"/>
      <x:c r="N11" s="5"/>
    </x:row>
    <x:row r="12" ht="22" customHeight="1">
      <x:c r="A12" s="2"/>
      <x:c r="B12" s="2"/>
      <x:c r="C12" s="14" t="n">
        <x:v>44347</x:v>
      </x:c>
      <x:c r="D12" s="15" t="n">
        <x:v>0.0069</x:v>
      </x:c>
      <x:c r="E12" s="15" t="n">
        <x:v>0.0332</x:v>
      </x:c>
      <x:c r="F12" s="15" t="n">
        <x:v>0.003</x:v>
      </x:c>
      <x:c r="G12" s="15" t="n">
        <x:v>0.0742</x:v>
      </x:c>
      <x:c r="H12" s="2"/>
      <x:c r="I12" s="2"/>
      <x:c r="J12" s="2"/>
      <x:c r="K12" s="2"/>
      <x:c r="L12" s="2"/>
      <x:c r="M12" s="2"/>
      <x:c r="N12" s="2"/>
    </x:row>
    <x:row r="13" ht="22" customHeight="1">
      <x:c r="A13" s="2"/>
      <x:c r="B13" s="2"/>
      <x:c r="C13" s="14" t="n">
        <x:v>44377</x:v>
      </x:c>
      <x:c r="D13" s="15" t="n">
        <x:v>0.0233</x:v>
      </x:c>
      <x:c r="E13" s="15" t="n">
        <x:v>-0.013500000000000002</x:v>
      </x:c>
      <x:c r="F13" s="15" t="n">
        <x:v>0.0072</x:v>
      </x:c>
      <x:c r="G13" s="15" t="n">
        <x:v>-0.0721</x:v>
      </x:c>
      <x:c r="H13" s="2"/>
      <x:c r="I13" s="2"/>
      <x:c r="J13" s="2"/>
      <x:c r="K13" s="2"/>
      <x:c r="L13" s="2"/>
      <x:c r="M13" s="2"/>
      <x:c r="N13" s="2"/>
    </x:row>
    <x:row r="14" ht="27" customHeight="1">
      <x:c r="A14" s="2"/>
      <x:c r="B14" s="2"/>
      <x:c r="C14" s="14" t="n">
        <x:v>44408</x:v>
      </x:c>
      <x:c r="D14" s="15" t="n">
        <x:v>0.023700000000000002</x:v>
      </x:c>
      <x:c r="E14" s="15" t="n">
        <x:v>0.0096</x:v>
      </x:c>
      <x:c r="F14" s="15" t="n">
        <x:v>0.011200000000000002</x:v>
      </x:c>
      <x:c r="G14" s="15" t="n">
        <x:v>0.0351</x:v>
      </x:c>
      <x:c r="H14" s="2"/>
      <x:c r="I14" s="5" t="str">
        <x:v>IEFA: iShares Core MSCI EAFE ETF</x:v>
      </x:c>
      <x:c r="J14" s="5"/>
      <x:c r="K14" s="5"/>
      <x:c r="L14" s="5"/>
      <x:c r="M14" s="5"/>
      <x:c r="N14" s="5"/>
    </x:row>
    <x:row r="15" ht="47" customHeight="1">
      <x:c r="A15" s="2"/>
      <x:c r="B15" s="2"/>
      <x:c r="C15" s="14" t="n">
        <x:v>44439</x:v>
      </x:c>
      <x:c r="D15" s="15" t="n">
        <x:v>0.0304</x:v>
      </x:c>
      <x:c r="E15" s="15" t="n">
        <x:v>0.0172</x:v>
      </x:c>
      <x:c r="F15" s="15" t="n">
        <x:v>-0.0019</x:v>
      </x:c>
      <x:c r="G15" s="15" t="n">
        <x:v>-0.006</x:v>
      </x:c>
      <x:c r="H15" s="2"/>
      <x:c r="I15" s="5" t="str">
        <x:v>https://www.ishares.com/us/products/244049/ishares-core-msci-eafe-etf</x:v>
      </x:c>
      <x:c r="J15" s="5"/>
      <x:c r="K15" s="5"/>
      <x:c r="L15" s="5"/>
      <x:c r="M15" s="5"/>
      <x:c r="N15" s="5"/>
    </x:row>
    <x:row r="16" ht="42" customHeight="1">
      <x:c r="A16" s="2"/>
      <x:c r="B16" s="2"/>
      <x:c r="C16" s="14" t="n">
        <x:v>44469</x:v>
      </x:c>
      <x:c r="D16" s="15" t="n">
        <x:v>-0.04650000000000001</x:v>
      </x:c>
      <x:c r="E16" s="15" t="n">
        <x:v>-0.034</x:v>
      </x:c>
      <x:c r="F16" s="15" t="n">
        <x:v>-0.0086</x:v>
      </x:c>
      <x:c r="G16" s="15" t="n">
        <x:v>-0.039900000000000005</x:v>
      </x:c>
      <x:c r="H16" s="2"/>
      <x:c r="I16" s="5" t="str">
        <x:v>Data Download &gt; Performance &gt; Monthly Total (NAV) Return. Published percent divided by 100.</x:v>
      </x:c>
      <x:c r="J16" s="5"/>
      <x:c r="K16" s="5"/>
      <x:c r="L16" s="5"/>
      <x:c r="M16" s="5"/>
      <x:c r="N16" s="5"/>
    </x:row>
    <x:row r="17" ht="22" customHeight="1">
      <x:c r="A17" s="2"/>
      <x:c r="B17" s="2"/>
      <x:c r="C17" s="14" t="n">
        <x:v>44500</x:v>
      </x:c>
      <x:c r="D17" s="15" t="n">
        <x:v>0.07</x:v>
      </x:c>
      <x:c r="E17" s="15" t="n">
        <x:v>0.0294</x:v>
      </x:c>
      <x:c r="F17" s="15" t="n">
        <x:v>-0.0005</x:v>
      </x:c>
      <x:c r="G17" s="15" t="n">
        <x:v>0.0148</x:v>
      </x:c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14" t="n">
        <x:v>44530</x:v>
      </x:c>
      <x:c r="D18" s="15" t="n">
        <x:v>-0.0069</x:v>
      </x:c>
      <x:c r="E18" s="15" t="n">
        <x:v>-0.0467</x:v>
      </x:c>
      <x:c r="F18" s="15" t="n">
        <x:v>0.003</x:v>
      </x:c>
      <x:c r="G18" s="15" t="n">
        <x:v>0.0199</x:v>
      </x:c>
      <x:c r="H18" s="2"/>
      <x:c r="I18" s="2"/>
      <x:c r="J18" s="2"/>
      <x:c r="K18" s="2"/>
      <x:c r="L18" s="2"/>
      <x:c r="M18" s="2"/>
      <x:c r="N18" s="2"/>
    </x:row>
    <x:row r="19" ht="27" customHeight="1">
      <x:c r="A19" s="2"/>
      <x:c r="B19" s="2"/>
      <x:c r="C19" s="14" t="n">
        <x:v>44561</x:v>
      </x:c>
      <x:c r="D19" s="15" t="n">
        <x:v>0.044800000000000006</x:v>
      </x:c>
      <x:c r="E19" s="15" t="n">
        <x:v>0.047400000000000005</x:v>
      </x:c>
      <x:c r="F19" s="15" t="n">
        <x:v>-0.0033</x:v>
      </x:c>
      <x:c r="G19" s="15" t="n">
        <x:v>0.0084</x:v>
      </x:c>
      <x:c r="H19" s="2"/>
      <x:c r="I19" s="5" t="str">
        <x:v>AGG: iShares Core U.S. Aggregate Bond ETF</x:v>
      </x:c>
      <x:c r="J19" s="5"/>
      <x:c r="K19" s="5"/>
      <x:c r="L19" s="5"/>
      <x:c r="M19" s="5"/>
      <x:c r="N19" s="5"/>
    </x:row>
    <x:row r="20" ht="47" customHeight="1">
      <x:c r="A20" s="2"/>
      <x:c r="B20" s="2"/>
      <x:c r="C20" s="14" t="n">
        <x:v>44592</x:v>
      </x:c>
      <x:c r="D20" s="15" t="n">
        <x:v>-0.0518</x:v>
      </x:c>
      <x:c r="E20" s="15" t="n">
        <x:v>-0.04190000000000001</x:v>
      </x:c>
      <x:c r="F20" s="15" t="n">
        <x:v>-0.0208</x:v>
      </x:c>
      <x:c r="G20" s="15" t="n">
        <x:v>-0.0139</x:v>
      </x:c>
      <x:c r="H20" s="2"/>
      <x:c r="I20" s="5" t="str">
        <x:v>https://www.ishares.com/us/products/239458/ishares-core-total-us-bond-market-etf</x:v>
      </x:c>
      <x:c r="J20" s="5"/>
      <x:c r="K20" s="5"/>
      <x:c r="L20" s="5"/>
      <x:c r="M20" s="5"/>
      <x:c r="N20" s="5"/>
    </x:row>
    <x:row r="21" ht="42" customHeight="1">
      <x:c r="A21" s="2"/>
      <x:c r="B21" s="2"/>
      <x:c r="C21" s="14" t="n">
        <x:v>44620</x:v>
      </x:c>
      <x:c r="D21" s="15" t="n">
        <x:v>-0.03</x:v>
      </x:c>
      <x:c r="E21" s="15" t="n">
        <x:v>-0.028900000000000002</x:v>
      </x:c>
      <x:c r="F21" s="15" t="n">
        <x:v>-0.011200000000000002</x:v>
      </x:c>
      <x:c r="G21" s="15" t="n">
        <x:v>0.0635</x:v>
      </x:c>
      <x:c r="H21" s="2"/>
      <x:c r="I21" s="5" t="str">
        <x:v>Data Download &gt; Performance &gt; Monthly Total (NAV) Return. Published percent divided by 100.</x:v>
      </x:c>
      <x:c r="J21" s="5"/>
      <x:c r="K21" s="5"/>
      <x:c r="L21" s="5"/>
      <x:c r="M21" s="5"/>
      <x:c r="N21" s="5"/>
    </x:row>
    <x:row r="22" ht="22" customHeight="1">
      <x:c r="A22" s="2"/>
      <x:c r="B22" s="2"/>
      <x:c r="C22" s="14" t="n">
        <x:v>44651</x:v>
      </x:c>
      <x:c r="D22" s="15" t="n">
        <x:v>0.0371</x:v>
      </x:c>
      <x:c r="E22" s="15" t="n">
        <x:v>-0.0022</x:v>
      </x:c>
      <x:c r="F22" s="15" t="n">
        <x:v>-0.0277</x:v>
      </x:c>
      <x:c r="G22" s="15" t="n">
        <x:v>0.0167</x:v>
      </x:c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14" t="n">
        <x:v>44681</x:v>
      </x:c>
      <x:c r="D23" s="15" t="n">
        <x:v>-0.0872</x:v>
      </x:c>
      <x:c r="E23" s="15" t="n">
        <x:v>-0.0647</x:v>
      </x:c>
      <x:c r="F23" s="15" t="n">
        <x:v>-0.0378</x:v>
      </x:c>
      <x:c r="G23" s="15" t="n">
        <x:v>-0.0161</x:v>
      </x:c>
      <x:c r="H23" s="2"/>
      <x:c r="I23" s="2"/>
      <x:c r="J23" s="2"/>
      <x:c r="K23" s="2"/>
      <x:c r="L23" s="2"/>
      <x:c r="M23" s="2"/>
      <x:c r="N23" s="2"/>
    </x:row>
    <x:row r="24" ht="27" customHeight="1">
      <x:c r="A24" s="2"/>
      <x:c r="B24" s="2"/>
      <x:c r="C24" s="14" t="n">
        <x:v>44712</x:v>
      </x:c>
      <x:c r="D24" s="15" t="n">
        <x:v>0.0018</x:v>
      </x:c>
      <x:c r="E24" s="15" t="n">
        <x:v>0.0172</x:v>
      </x:c>
      <x:c r="F24" s="15" t="n">
        <x:v>0.006500000000000001</x:v>
      </x:c>
      <x:c r="G24" s="15" t="n">
        <x:v>-0.0382</x:v>
      </x:c>
      <x:c r="H24" s="2"/>
      <x:c r="I24" s="5" t="str">
        <x:v>IAU: iShares Gold Trust</x:v>
      </x:c>
      <x:c r="J24" s="5"/>
      <x:c r="K24" s="5"/>
      <x:c r="L24" s="5"/>
      <x:c r="M24" s="5"/>
      <x:c r="N24" s="5"/>
    </x:row>
    <x:row r="25" ht="47" customHeight="1">
      <x:c r="A25" s="2"/>
      <x:c r="B25" s="2"/>
      <x:c r="C25" s="14" t="n">
        <x:v>44742</x:v>
      </x:c>
      <x:c r="D25" s="15" t="n">
        <x:v>-0.08259999999999999</x:v>
      </x:c>
      <x:c r="E25" s="15" t="n">
        <x:v>-0.0916</x:v>
      </x:c>
      <x:c r="F25" s="15" t="n">
        <x:v>-0.015600000000000001</x:v>
      </x:c>
      <x:c r="G25" s="15" t="n">
        <x:v>-0.012</x:v>
      </x:c>
      <x:c r="H25" s="2"/>
      <x:c r="I25" s="5" t="str">
        <x:v>https://www.ishares.com/us/products/239561/ishares-gold-trust-fund</x:v>
      </x:c>
      <x:c r="J25" s="5"/>
      <x:c r="K25" s="5"/>
      <x:c r="L25" s="5"/>
      <x:c r="M25" s="5"/>
      <x:c r="N25" s="5"/>
    </x:row>
    <x:row r="26" ht="42" customHeight="1">
      <x:c r="A26" s="2"/>
      <x:c r="B26" s="2"/>
      <x:c r="C26" s="14" t="n">
        <x:v>44773</x:v>
      </x:c>
      <x:c r="D26" s="15" t="n">
        <x:v>0.0922</x:v>
      </x:c>
      <x:c r="E26" s="15" t="n">
        <x:v>0.0541</x:v>
      </x:c>
      <x:c r="F26" s="15" t="n">
        <x:v>0.0242</x:v>
      </x:c>
      <x:c r="G26" s="15" t="n">
        <x:v>-0.0352</x:v>
      </x:c>
      <x:c r="H26" s="2"/>
      <x:c r="I26" s="5" t="str">
        <x:v>Data Download &gt; Performance &gt; Monthly Total (NAV) Return. Published percent divided by 100.</x:v>
      </x:c>
      <x:c r="J26" s="5"/>
      <x:c r="K26" s="5"/>
      <x:c r="L26" s="5"/>
      <x:c r="M26" s="5"/>
      <x:c r="N26" s="5"/>
    </x:row>
    <x:row r="27" ht="22" customHeight="1">
      <x:c r="A27" s="2"/>
      <x:c r="B27" s="2"/>
      <x:c r="C27" s="14" t="n">
        <x:v>44804</x:v>
      </x:c>
      <x:c r="D27" s="15" t="n">
        <x:v>-0.04081018</x:v>
      </x:c>
      <x:c r="E27" s="15" t="n">
        <x:v>-0.0584</x:v>
      </x:c>
      <x:c r="F27" s="15" t="n">
        <x:v>-0.0279</x:v>
      </x:c>
      <x:c r="G27" s="15" t="n">
        <x:v>-0.0216</x:v>
      </x:c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14" t="n">
        <x:v>44834</x:v>
      </x:c>
      <x:c r="D28" s="15" t="n">
        <x:v>-0.09213297000000001</x:v>
      </x:c>
      <x:c r="E28" s="15" t="n">
        <x:v>-0.0965</x:v>
      </x:c>
      <x:c r="F28" s="15" t="n">
        <x:v>-0.0431</x:v>
      </x:c>
      <x:c r="G28" s="15" t="n">
        <x:v>-0.025929999999999998</x:v>
      </x:c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14" t="n">
        <x:v>44865</x:v>
      </x:c>
      <x:c r="D29" s="15" t="n">
        <x:v>0.08092987000000001</x:v>
      </x:c>
      <x:c r="E29" s="15" t="n">
        <x:v>0.0572</x:v>
      </x:c>
      <x:c r="F29" s="15" t="n">
        <x:v>-0.013000000000000001</x:v>
      </x:c>
      <x:c r="G29" s="15" t="n">
        <x:v>-0.019799999999999998</x:v>
      </x:c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14" t="n">
        <x:v>44895</x:v>
      </x:c>
      <x:c r="D30" s="15" t="n">
        <x:v>0.05585076</x:v>
      </x:c>
      <x:c r="E30" s="15" t="n">
        <x:v>0.1353</x:v>
      </x:c>
      <x:c r="F30" s="15" t="n">
        <x:v>0.0369</x:v>
      </x:c>
      <x:c r="G30" s="15" t="n">
        <x:v>0.06964000000000001</x:v>
      </x:c>
      <x:c r="H30" s="2"/>
      <x:c r="I30" s="16" t="str">
        <x:v>Return basis</x:v>
      </x:c>
      <x:c r="J30" s="5"/>
      <x:c r="K30" s="5"/>
      <x:c r="L30" s="5"/>
      <x:c r="M30" s="5"/>
      <x:c r="N30" s="5"/>
    </x:row>
    <x:row r="31" ht="57" customHeight="1">
      <x:c r="A31" s="2"/>
      <x:c r="B31" s="2"/>
      <x:c r="C31" s="14" t="n">
        <x:v>44926</x:v>
      </x:c>
      <x:c r="D31" s="15" t="n">
        <x:v>-0.05762394</x:v>
      </x:c>
      <x:c r="E31" s="15" t="n">
        <x:v>-0.0172</x:v>
      </x:c>
      <x:c r="F31" s="15" t="n">
        <x:v>-0.0064</x:v>
      </x:c>
      <x:c r="G31" s="15" t="n">
        <x:v>0.03336</x:v>
      </x:c>
      <x:c r="H31" s="2"/>
      <x:c r="I31" s="5" t="str">
        <x:v>NAV total returns include reinvested distributions and fund expenses. No second dividend or fee adjustment is applied. Monthly return precision varies in the provider files.</x:v>
      </x:c>
      <x:c r="J31" s="5"/>
      <x:c r="K31" s="5"/>
      <x:c r="L31" s="5"/>
      <x:c r="M31" s="5"/>
      <x:c r="N31" s="5"/>
    </x:row>
    <x:row r="32" ht="22" customHeight="1">
      <x:c r="A32" s="2"/>
      <x:c r="B32" s="2"/>
      <x:c r="C32" s="14" t="n">
        <x:v>44957</x:v>
      </x:c>
      <x:c r="D32" s="15" t="n">
        <x:v>0.06281209</x:v>
      </x:c>
      <x:c r="E32" s="15" t="n">
        <x:v>0.0849</x:v>
      </x:c>
      <x:c r="F32" s="15" t="n">
        <x:v>0.0325</x:v>
      </x:c>
      <x:c r="G32" s="15" t="n">
        <x:v>0.06132</x:v>
      </x:c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14" t="n">
        <x:v>44985</x:v>
      </x:c>
      <x:c r="D33" s="15" t="n">
        <x:v>-0.02440751</x:v>
      </x:c>
      <x:c r="E33" s="15" t="n">
        <x:v>-0.03</x:v>
      </x:c>
      <x:c r="F33" s="15" t="n">
        <x:v>-0.0258</x:v>
      </x:c>
      <x:c r="G33" s="15" t="n">
        <x:v>-0.0518</x:v>
      </x:c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14" t="n">
        <x:v>45016</x:v>
      </x:c>
      <x:c r="D34" s="15" t="n">
        <x:v>0.03669972</x:v>
      </x:c>
      <x:c r="E34" s="15" t="n">
        <x:v>0.0276</x:v>
      </x:c>
      <x:c r="F34" s="15" t="n">
        <x:v>0.0254</x:v>
      </x:c>
      <x:c r="G34" s="15" t="n">
        <x:v>0.08478</x:v>
      </x:c>
      <x:c r="H34" s="2"/>
      <x:c r="I34" s="16" t="str">
        <x:v>Historical design</x:v>
      </x:c>
      <x:c r="J34" s="5"/>
      <x:c r="K34" s="5"/>
      <x:c r="L34" s="5"/>
      <x:c r="M34" s="5"/>
      <x:c r="N34" s="5"/>
    </x:row>
    <x:row r="35" ht="57" customHeight="1">
      <x:c r="A35" s="2"/>
      <x:c r="B35" s="2"/>
      <x:c r="C35" s="14" t="n">
        <x:v>45046</x:v>
      </x:c>
      <x:c r="D35" s="15" t="n">
        <x:v>0.01560376</x:v>
      </x:c>
      <x:c r="E35" s="15" t="n">
        <x:v>0.027000000000000003</x:v>
      </x:c>
      <x:c r="F35" s="15" t="n">
        <x:v>0.0059</x:v>
      </x:c>
      <x:c r="G35" s="15" t="n">
        <x:v>0.00125</x:v>
      </x:c>
      <x:c r="H35" s="2"/>
      <x:c r="I35" s="5" t="str">
        <x:v>Illustrative allocation set retrospectively: 40% IVV, 20% IEFA, 30% AGG and 10% IAU. No optimization or claim of an implementable historical mandate.</x:v>
      </x:c>
      <x:c r="J35" s="5"/>
      <x:c r="K35" s="5"/>
      <x:c r="L35" s="5"/>
      <x:c r="M35" s="5"/>
      <x:c r="N35" s="5"/>
    </x:row>
    <x:row r="36" ht="22" customHeight="1">
      <x:c r="A36" s="2"/>
      <x:c r="B36" s="2"/>
      <x:c r="C36" s="14" t="n">
        <x:v>45077</x:v>
      </x:c>
      <x:c r="D36" s="15" t="n">
        <x:v>0.00430574</x:v>
      </x:c>
      <x:c r="E36" s="15" t="n">
        <x:v>-0.039</x:v>
      </x:c>
      <x:c r="F36" s="15" t="n">
        <x:v>-0.0108</x:v>
      </x:c>
      <x:c r="G36" s="15" t="n">
        <x:v>-0.00938</x:v>
      </x:c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14" t="n">
        <x:v>45107</x:v>
      </x:c>
      <x:c r="D37" s="15" t="n">
        <x:v>0.06603895</x:v>
      </x:c>
      <x:c r="E37" s="15" t="n">
        <x:v>0.042800000000000005</x:v>
      </x:c>
      <x:c r="F37" s="15" t="n">
        <x:v>-0.0036</x:v>
      </x:c>
      <x:c r="G37" s="15" t="n">
        <x:v>-0.02675</x:v>
      </x:c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14" t="n">
        <x:v>45138</x:v>
      </x:c>
      <x:c r="D38" s="15" t="n">
        <x:v>0.03211989</x:v>
      </x:c>
      <x:c r="E38" s="15" t="n">
        <x:v>0.0292</x:v>
      </x:c>
      <x:c r="F38" s="15" t="n">
        <x:v>-0.0007000000000000001</x:v>
      </x:c>
      <x:c r="G38" s="15" t="n">
        <x:v>0.03032</x:v>
      </x:c>
      <x:c r="H38" s="2"/>
      <x:c r="I38" s="16" t="str">
        <x:v>Benchmark</x:v>
      </x:c>
      <x:c r="J38" s="5"/>
      <x:c r="K38" s="5"/>
      <x:c r="L38" s="5"/>
      <x:c r="M38" s="5"/>
      <x:c r="N38" s="5"/>
    </x:row>
    <x:row r="39" ht="57" customHeight="1">
      <x:c r="A39" s="2"/>
      <x:c r="B39" s="2"/>
      <x:c r="C39" s="14" t="n">
        <x:v>45169</x:v>
      </x:c>
      <x:c r="D39" s="15" t="n">
        <x:v>-0.01584446</x:v>
      </x:c>
      <x:c r="E39" s="15" t="n">
        <x:v>-0.038599999999999995</x:v>
      </x:c>
      <x:c r="F39" s="15" t="n">
        <x:v>-0.0064</x:v>
      </x:c>
      <x:c r="G39" s="15" t="n">
        <x:v>-0.0146</x:v>
      </x:c>
      <x:c r="H39" s="2"/>
      <x:c r="I39" s="5" t="str">
        <x:v>A custom U.S. 60/40 reference: 60% IVV and 40% AGG. Different international and gold exposures make this a strategic comparison, not an attribution of manager skill.</x:v>
      </x:c>
      <x:c r="J39" s="5"/>
      <x:c r="K39" s="5"/>
      <x:c r="L39" s="5"/>
      <x:c r="M39" s="5"/>
      <x:c r="N39" s="5"/>
    </x:row>
    <x:row r="40" ht="22" customHeight="1">
      <x:c r="A40" s="2"/>
      <x:c r="B40" s="2"/>
      <x:c r="C40" s="14" t="n">
        <x:v>45199</x:v>
      </x:c>
      <x:c r="D40" s="15" t="n">
        <x:v>-0.047686450000000005</x:v>
      </x:c>
      <x:c r="E40" s="15" t="n">
        <x:v>-0.037200000000000004</x:v>
      </x:c>
      <x:c r="F40" s="15" t="n">
        <x:v>-0.0253</x:v>
      </x:c>
      <x:c r="G40" s="15" t="n">
        <x:v>-0.03716</x:v>
      </x:c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14" t="n">
        <x:v>45230</x:v>
      </x:c>
      <x:c r="D41" s="15" t="n">
        <x:v>-0.02104146</x:v>
      </x:c>
      <x:c r="E41" s="15" t="n">
        <x:v>-0.0332</x:v>
      </x:c>
      <x:c r="F41" s="15" t="n">
        <x:v>-0.015700000000000002</x:v>
      </x:c>
      <x:c r="G41" s="15" t="n">
        <x:v>0.06735000000000001</x:v>
      </x:c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14" t="n">
        <x:v>45260</x:v>
      </x:c>
      <x:c r="D42" s="15" t="n">
        <x:v>0.09130598000000001</x:v>
      </x:c>
      <x:c r="E42" s="15" t="n">
        <x:v>0.0864</x:v>
      </x:c>
      <x:c r="F42" s="15" t="n">
        <x:v>0.0451</x:v>
      </x:c>
      <x:c r="G42" s="15" t="n">
        <x:v>0.0191</x:v>
      </x:c>
      <x:c r="H42" s="2"/>
      <x:c r="I42" s="16" t="str">
        <x:v>Rebalancing</x:v>
      </x:c>
      <x:c r="J42" s="5"/>
      <x:c r="K42" s="5"/>
      <x:c r="L42" s="5"/>
      <x:c r="M42" s="5"/>
      <x:c r="N42" s="5"/>
    </x:row>
    <x:row r="43" ht="57" customHeight="1">
      <x:c r="A43" s="2"/>
      <x:c r="B43" s="2"/>
      <x:c r="C43" s="14" t="n">
        <x:v>45291</x:v>
      </x:c>
      <x:c r="D43" s="15" t="n">
        <x:v>0.04540701999999999</x:v>
      </x:c>
      <x:c r="E43" s="15" t="n">
        <x:v>0.056299999999999996</x:v>
      </x:c>
      <x:c r="F43" s="15" t="n">
        <x:v>0.0371</x:v>
      </x:c>
      <x:c r="G43" s="15" t="n">
        <x:v>0.013040000000000001</x:v>
      </x:c>
      <x:c r="H43" s="2"/>
      <x:c r="I43" s="5" t="str">
        <x:v>Both allocations rebalance at the start of January, April, July and October by default. Holdings drift between rebalances. Initial investment is excluded from turnover.</x:v>
      </x:c>
      <x:c r="J43" s="5"/>
      <x:c r="K43" s="5"/>
      <x:c r="L43" s="5"/>
      <x:c r="M43" s="5"/>
      <x:c r="N43" s="5"/>
    </x:row>
    <x:row r="44" ht="22" customHeight="1">
      <x:c r="A44" s="2"/>
      <x:c r="B44" s="2"/>
      <x:c r="C44" s="14" t="n">
        <x:v>45322</x:v>
      </x:c>
      <x:c r="D44" s="15" t="n">
        <x:v>0.01677935</x:v>
      </x:c>
      <x:c r="E44" s="15" t="n">
        <x:v>-0.0076</x:v>
      </x:c>
      <x:c r="F44" s="15" t="n">
        <x:v>-0.0017000000000000001</x:v>
      </x:c>
      <x:c r="G44" s="15" t="n">
        <x:v>-0.00466</x:v>
      </x:c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14" t="n">
        <x:v>45351</x:v>
      </x:c>
      <x:c r="D45" s="15" t="n">
        <x:v>0.05334902</x:v>
      </x:c>
      <x:c r="E45" s="15" t="n">
        <x:v>0.0274</x:v>
      </x:c>
      <x:c r="F45" s="15" t="n">
        <x:v>-0.0141</x:v>
      </x:c>
      <x:c r="G45" s="15" t="n">
        <x:v>-0.0027300000000000002</x:v>
      </x:c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14" t="n">
        <x:v>45382</x:v>
      </x:c>
      <x:c r="D46" s="15" t="n">
        <x:v>0.032164820000000004</x:v>
      </x:c>
      <x:c r="E46" s="15" t="n">
        <x:v>0.0332</x:v>
      </x:c>
      <x:c r="F46" s="15" t="n">
        <x:v>0.0084</x:v>
      </x:c>
      <x:c r="G46" s="15" t="n">
        <x:v>0.081</x:v>
      </x:c>
      <x:c r="H46" s="2"/>
      <x:c r="I46" s="16" t="str">
        <x:v>Scope</x:v>
      </x:c>
      <x:c r="J46" s="5"/>
      <x:c r="K46" s="5"/>
      <x:c r="L46" s="5"/>
      <x:c r="M46" s="5"/>
      <x:c r="N46" s="5"/>
    </x:row>
    <x:row r="47" ht="57" customHeight="1">
      <x:c r="A47" s="2"/>
      <x:c r="B47" s="2"/>
      <x:c r="C47" s="14" t="n">
        <x:v>45412</x:v>
      </x:c>
      <x:c r="D47" s="15" t="n">
        <x:v>-0.040850090000000006</x:v>
      </x:c>
      <x:c r="E47" s="15" t="n">
        <x:v>-0.0321</x:v>
      </x:c>
      <x:c r="F47" s="15" t="n">
        <x:v>-0.024399999999999998</x:v>
      </x:c>
      <x:c r="G47" s="15" t="n">
        <x:v>0.041609999999999994</x:v>
      </x:c>
      <x:c r="H47" s="2"/>
      <x:c r="I47" s="5" t="str">
        <x:v>Hypothetical USD 100,000, no deposits or withdrawals. Taxes, commissions, bid-ask spreads and advisory fees excluded. No CAD conversion or currency hedging. NAVs are not exchange execution prices.</x:v>
      </x:c>
      <x:c r="J47" s="5"/>
      <x:c r="K47" s="5"/>
      <x:c r="L47" s="5"/>
      <x:c r="M47" s="5"/>
      <x:c r="N47" s="5"/>
    </x:row>
    <x:row r="48" ht="22" customHeight="1">
      <x:c r="A48" s="2"/>
      <x:c r="B48" s="2"/>
      <x:c r="C48" s="14" t="n">
        <x:v>45443</x:v>
      </x:c>
      <x:c r="D48" s="15" t="n">
        <x:v>0.04957574</x:v>
      </x:c>
      <x:c r="E48" s="15" t="n">
        <x:v>0.0526</x:v>
      </x:c>
      <x:c r="F48" s="15" t="n">
        <x:v>0.0169</x:v>
      </x:c>
      <x:c r="G48" s="15" t="n">
        <x:v>0.01766</x:v>
      </x:c>
      <x:c r="H48" s="2"/>
      <x:c r="I48" s="2"/>
      <x:c r="J48" s="2"/>
      <x:c r="K48" s="2"/>
      <x:c r="L48" s="2"/>
      <x:c r="M48" s="2"/>
      <x:c r="N48" s="2"/>
    </x:row>
    <x:row r="49" ht="22" customHeight="1">
      <x:c r="A49" s="2"/>
      <x:c r="B49" s="2"/>
      <x:c r="C49" s="14" t="n">
        <x:v>45473</x:v>
      </x:c>
      <x:c r="D49" s="15" t="n">
        <x:v>0.03588715</x:v>
      </x:c>
      <x:c r="E49" s="15" t="n">
        <x:v>-0.0233</x:v>
      </x:c>
      <x:c r="F49" s="15" t="n">
        <x:v>0.009300000000000001</x:v>
      </x:c>
      <x:c r="G49" s="15" t="n">
        <x:v>-0.00758</x:v>
      </x:c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14" t="n">
        <x:v>45504</x:v>
      </x:c>
      <x:c r="D50" s="15" t="n">
        <x:v>0.012159109999999999</x:v>
      </x:c>
      <x:c r="E50" s="15" t="n">
        <x:v>0.0332</x:v>
      </x:c>
      <x:c r="F50" s="15" t="n">
        <x:v>0.0235</x:v>
      </x:c>
      <x:c r="G50" s="15" t="n">
        <x:v>0.0407</x:v>
      </x:c>
      <x:c r="H50" s="2"/>
      <x:c r="I50" s="16" t="str">
        <x:v>Risk measures</x:v>
      </x:c>
      <x:c r="J50" s="5"/>
      <x:c r="K50" s="5"/>
      <x:c r="L50" s="5"/>
      <x:c r="M50" s="5"/>
      <x:c r="N50" s="5"/>
    </x:row>
    <x:row r="51" ht="57" customHeight="1">
      <x:c r="A51" s="2"/>
      <x:c r="B51" s="2"/>
      <x:c r="C51" s="14" t="n">
        <x:v>45535</x:v>
      </x:c>
      <x:c r="D51" s="15" t="n">
        <x:v>0.02420801</x:v>
      </x:c>
      <x:c r="E51" s="15" t="n">
        <x:v>0.032400000000000005</x:v>
      </x:c>
      <x:c r="F51" s="15" t="n">
        <x:v>0.0144</x:v>
      </x:c>
      <x:c r="G51" s="15" t="n">
        <x:v>0.03567</x:v>
      </x:c>
      <x:c r="H51" s="2"/>
      <x:c r="I51" s="5" t="str">
        <x:v>Annualized volatility uses sample standard deviation of 60 monthly returns times sqrt(12). Drawdown uses month-end wealth and includes the initial value as a peak. Intramonth losses can be larger.</x:v>
      </x:c>
      <x:c r="J51" s="5"/>
      <x:c r="K51" s="5"/>
      <x:c r="L51" s="5"/>
      <x:c r="M51" s="5"/>
      <x:c r="N51" s="5"/>
    </x:row>
    <x:row r="52" ht="22" customHeight="1">
      <x:c r="A52" s="2"/>
      <x:c r="B52" s="2"/>
      <x:c r="C52" s="14" t="n">
        <x:v>45565</x:v>
      </x:c>
      <x:c r="D52" s="15" t="n">
        <x:v>0.02133409</x:v>
      </x:c>
      <x:c r="E52" s="15" t="n">
        <x:v>0.0096</x:v>
      </x:c>
      <x:c r="F52" s="15" t="n">
        <x:v>0.0134</x:v>
      </x:c>
      <x:c r="G52" s="15" t="n">
        <x:v>0.04617</x:v>
      </x:c>
      <x:c r="H52" s="2"/>
      <x:c r="I52" s="2"/>
      <x:c r="J52" s="2"/>
      <x:c r="K52" s="2"/>
      <x:c r="L52" s="2"/>
      <x:c r="M52" s="2"/>
      <x:c r="N52" s="2"/>
    </x:row>
    <x:row r="53" ht="22" customHeight="1">
      <x:c r="A53" s="2"/>
      <x:c r="B53" s="2"/>
      <x:c r="C53" s="14" t="n">
        <x:v>45596</x:v>
      </x:c>
      <x:c r="D53" s="15" t="n">
        <x:v>-0.00909656</x:v>
      </x:c>
      <x:c r="E53" s="15" t="n">
        <x:v>-0.056100000000000004</x:v>
      </x:c>
      <x:c r="F53" s="15" t="n">
        <x:v>-0.0248</x:v>
      </x:c>
      <x:c r="G53" s="15" t="n">
        <x:v>0.03941</x:v>
      </x:c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14" t="n">
        <x:v>45626</x:v>
      </x:c>
      <x:c r="D54" s="15" t="n">
        <x:v>0.05866213</x:v>
      </x:c>
      <x:c r="E54" s="15" t="n">
        <x:v>-0.001</x:v>
      </x:c>
      <x:c r="F54" s="15" t="n">
        <x:v>0.0113</x:v>
      </x:c>
      <x:c r="G54" s="15" t="n">
        <x:v>-0.03058</x:v>
      </x:c>
      <x:c r="H54" s="2"/>
      <x:c r="I54" s="16" t="str">
        <x:v>Contribution</x:v>
      </x:c>
      <x:c r="J54" s="5"/>
      <x:c r="K54" s="5"/>
      <x:c r="L54" s="5"/>
      <x:c r="M54" s="5"/>
      <x:c r="N54" s="5"/>
    </x:row>
    <x:row r="55" ht="57" customHeight="1">
      <x:c r="A55" s="2"/>
      <x:c r="B55" s="2"/>
      <x:c r="C55" s="14" t="n">
        <x:v>45657</x:v>
      </x:c>
      <x:c r="D55" s="15" t="n">
        <x:v>-0.02385907</x:v>
      </x:c>
      <x:c r="E55" s="15" t="n">
        <x:v>-0.0288</x:v>
      </x:c>
      <x:c r="F55" s="15" t="n">
        <x:v>-0.0169</x:v>
      </x:c>
      <x:c r="G55" s="15" t="n">
        <x:v>-0.01538</x:v>
      </x:c>
      <x:c r="H55" s="2"/>
      <x:c r="I55" s="5" t="str">
        <x:v>Dollar P&amp;L by sleeve is opening value times its monthly return. Cumulative contribution divides summed P&amp;L by initial capital; annual contribution uses that year's opening capital.</x:v>
      </x:c>
      <x:c r="J55" s="5"/>
      <x:c r="K55" s="5"/>
      <x:c r="L55" s="5"/>
      <x:c r="M55" s="5"/>
      <x:c r="N55" s="5"/>
    </x:row>
    <x:row r="56" ht="22" customHeight="1">
      <x:c r="A56" s="2"/>
      <x:c r="B56" s="2"/>
      <x:c r="C56" s="14" t="n">
        <x:v>45688</x:v>
      </x:c>
      <x:c r="D56" s="15" t="n">
        <x:v>0.02779804</x:v>
      </x:c>
      <x:c r="E56" s="15" t="n">
        <x:v>0.0471</x:v>
      </x:c>
      <x:c r="F56" s="15" t="n">
        <x:v>0.0051</x:v>
      </x:c>
      <x:c r="G56" s="15" t="n">
        <x:v>0.07685</x:v>
      </x:c>
      <x:c r="H56" s="2"/>
      <x:c r="I56" s="2"/>
      <x:c r="J56" s="2"/>
      <x:c r="K56" s="2"/>
      <x:c r="L56" s="2"/>
      <x:c r="M56" s="2"/>
      <x:c r="N56" s="2"/>
    </x:row>
    <x:row r="57" ht="22" customHeight="1">
      <x:c r="A57" s="2"/>
      <x:c r="B57" s="2"/>
      <x:c r="C57" s="14" t="n">
        <x:v>45716</x:v>
      </x:c>
      <x:c r="D57" s="15" t="n">
        <x:v>-0.01310529</x:v>
      </x:c>
      <x:c r="E57" s="15" t="n">
        <x:v>0.0274</x:v>
      </x:c>
      <x:c r="F57" s="15" t="n">
        <x:v>0.022000000000000002</x:v>
      </x:c>
      <x:c r="G57" s="15" t="n">
        <x:v>0.00781</x:v>
      </x:c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14" t="n">
        <x:v>45747</x:v>
      </x:c>
      <x:c r="D58" s="15" t="n">
        <x:v>-0.05631999000000001</x:v>
      </x:c>
      <x:c r="E58" s="15" t="n">
        <x:v>-0.0003</x:v>
      </x:c>
      <x:c r="F58" s="15" t="n">
        <x:v>0.0004</x:v>
      </x:c>
      <x:c r="G58" s="15" t="n">
        <x:v>0.09876</x:v>
      </x:c>
      <x:c r="H58" s="2"/>
      <x:c r="I58" s="16" t="str">
        <x:v>Risk contribution</x:v>
      </x:c>
      <x:c r="J58" s="5"/>
      <x:c r="K58" s="5"/>
      <x:c r="L58" s="5"/>
      <x:c r="M58" s="5"/>
      <x:c r="N58" s="5"/>
    </x:row>
    <x:row r="59" ht="57" customHeight="1">
      <x:c r="A59" s="2"/>
      <x:c r="B59" s="2"/>
      <x:c r="C59" s="14" t="n">
        <x:v>45777</x:v>
      </x:c>
      <x:c r="D59" s="15" t="n">
        <x:v>-0.00680232</x:v>
      </x:c>
      <x:c r="E59" s="15" t="n">
        <x:v>0.042199999999999994</x:v>
      </x:c>
      <x:c r="F59" s="15" t="n">
        <x:v>0.0039000000000000003</x:v>
      </x:c>
      <x:c r="G59" s="15" t="n">
        <x:v>0.059800000000000006</x:v>
      </x:c>
      <x:c r="H59" s="2"/>
      <x:c r="I59" s="5" t="str">
        <x:v>Each sleeve's monthly weighted return contribution is compared with portfolio returns: covariance / portfolio variance. Shares reconcile to 100%. This is an ex-post measure.</x:v>
      </x:c>
      <x:c r="J59" s="5"/>
      <x:c r="K59" s="5"/>
      <x:c r="L59" s="5"/>
      <x:c r="M59" s="5"/>
      <x:c r="N59" s="5"/>
    </x:row>
    <x:row r="60" ht="22" customHeight="1">
      <x:c r="A60" s="2"/>
      <x:c r="B60" s="2"/>
      <x:c r="C60" s="14" t="n">
        <x:v>45808</x:v>
      </x:c>
      <x:c r="D60" s="15" t="n">
        <x:v>0.06292339</x:v>
      </x:c>
      <x:c r="E60" s="15" t="n">
        <x:v>0.0475</x:v>
      </x:c>
      <x:c r="F60" s="15" t="n">
        <x:v>-0.0072</x:v>
      </x:c>
      <x:c r="G60" s="15" t="n">
        <x:v>-0.0076300000000000005</x:v>
      </x:c>
      <x:c r="H60" s="2"/>
      <x:c r="I60" s="2"/>
      <x:c r="J60" s="2"/>
      <x:c r="K60" s="2"/>
      <x:c r="L60" s="2"/>
      <x:c r="M60" s="2"/>
      <x:c r="N60" s="2"/>
    </x:row>
    <x:row r="61" ht="22" customHeight="1">
      <x:c r="A61" s="2"/>
      <x:c r="B61" s="2"/>
      <x:c r="C61" s="14" t="n">
        <x:v>45838</x:v>
      </x:c>
      <x:c r="D61" s="15" t="n">
        <x:v>0.050840630000000005</x:v>
      </x:c>
      <x:c r="E61" s="15" t="n">
        <x:v>0.0285</x:v>
      </x:c>
      <x:c r="F61" s="15" t="n">
        <x:v>0.0154</x:v>
      </x:c>
      <x:c r="G61" s="15" t="n">
        <x:v>0.0028100000000000004</x:v>
      </x:c>
      <x:c r="H61" s="2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14" t="n">
        <x:v>45869</x:v>
      </x:c>
      <x:c r="D62" s="15" t="n">
        <x:v>0.02239205</x:v>
      </x:c>
      <x:c r="E62" s="15" t="n">
        <x:v>-0.0229</x:v>
      </x:c>
      <x:c r="F62" s="15" t="n">
        <x:v>-0.0025</x:v>
      </x:c>
      <x:c r="G62" s="15" t="n">
        <x:v>0.0032500000000000003</x:v>
      </x:c>
      <x:c r="H62" s="2"/>
      <x:c r="I62" s="16" t="str">
        <x:v>Concentration</x:v>
      </x:c>
      <x:c r="J62" s="5"/>
      <x:c r="K62" s="5"/>
      <x:c r="L62" s="5"/>
      <x:c r="M62" s="5"/>
      <x:c r="N62" s="5"/>
    </x:row>
    <x:row r="63" ht="57" customHeight="1">
      <x:c r="A63" s="2"/>
      <x:c r="B63" s="2"/>
      <x:c r="C63" s="14" t="n">
        <x:v>45900</x:v>
      </x:c>
      <x:c r="D63" s="15" t="n">
        <x:v>0.020255830000000002</x:v>
      </x:c>
      <x:c r="E63" s="15" t="n">
        <x:v>0.0482</x:v>
      </x:c>
      <x:c r="F63" s="15" t="n">
        <x:v>0.0118</x:v>
      </x:c>
      <x:c r="G63" s="15" t="n">
        <x:v>0.0393</x:v>
      </x:c>
      <x:c r="H63" s="2"/>
      <x:c r="I63" s="5" t="str">
        <x:v>HHI is the sum of squared fund weights. Effective fund count is 1 / HHI. These measure sleeve concentration, not concentration in underlying issuers or economic risk.</x:v>
      </x:c>
      <x:c r="J63" s="5"/>
      <x:c r="K63" s="5"/>
      <x:c r="L63" s="5"/>
      <x:c r="M63" s="5"/>
      <x:c r="N63" s="5"/>
    </x:row>
    <x:row r="64" ht="22" customHeight="1">
      <x:c r="A64" s="2"/>
      <x:c r="B64" s="2"/>
      <x:c r="C64" s="14" t="n">
        <x:v>45930</x:v>
      </x:c>
      <x:c r="D64" s="15" t="n">
        <x:v>0.0365041</x:v>
      </x:c>
      <x:c r="E64" s="15" t="n">
        <x:v>0.023700000000000002</x:v>
      </x:c>
      <x:c r="F64" s="15" t="n">
        <x:v>0.011000000000000001</x:v>
      </x:c>
      <x:c r="G64" s="15" t="n">
        <x:v>0.1153</x:v>
      </x:c>
      <x:c r="H64" s="2"/>
      <x:c r="I64" s="2"/>
      <x:c r="J64" s="2"/>
      <x:c r="K64" s="2"/>
      <x:c r="L64" s="2"/>
      <x:c r="M64" s="2"/>
      <x:c r="N64" s="2"/>
    </x:row>
    <x:row r="65" ht="22" customHeight="1">
      <x:c r="A65" s="2"/>
      <x:c r="B65" s="2"/>
      <x:c r="C65" s="14" t="n">
        <x:v>45961</x:v>
      </x:c>
      <x:c r="D65" s="15" t="n">
        <x:v>0.02340071</x:v>
      </x:c>
      <x:c r="E65" s="15" t="n">
        <x:v>0.0068000000000000005</x:v>
      </x:c>
      <x:c r="F65" s="15" t="n">
        <x:v>0.0062</x:v>
      </x:c>
      <x:c r="G65" s="15" t="n">
        <x:v>0.04846</x:v>
      </x:c>
      <x:c r="H65" s="2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14" t="n">
        <x:v>45991</x:v>
      </x:c>
      <x:c r="D66" s="15" t="n">
        <x:v>0.00239073</x:v>
      </x:c>
      <x:c r="E66" s="15" t="n">
        <x:v>0.00797816</x:v>
      </x:c>
      <x:c r="F66" s="15" t="n">
        <x:v>0.0062</x:v>
      </x:c>
      <x:c r="G66" s="15" t="n">
        <x:v>0.04456</x:v>
      </x:c>
      <x:c r="H66" s="2"/>
      <x:c r="I66" s="16" t="str">
        <x:v>Refresh</x:v>
      </x:c>
      <x:c r="J66" s="5"/>
      <x:c r="K66" s="5"/>
      <x:c r="L66" s="5"/>
      <x:c r="M66" s="5"/>
      <x:c r="N66" s="5"/>
    </x:row>
    <x:row r="67" ht="57" customHeight="1">
      <x:c r="A67" s="2"/>
      <x:c r="B67" s="2"/>
      <x:c r="C67" s="14" t="n">
        <x:v>46022</x:v>
      </x:c>
      <x:c r="D67" s="15" t="n">
        <x:v>0.0005832</x:v>
      </x:c>
      <x:c r="E67" s="15" t="n">
        <x:v>0.02606514</x:v>
      </x:c>
      <x:c r="F67" s="15" t="n">
        <x:v>-0.0024</x:v>
      </x:c>
      <x:c r="G67" s="15" t="n">
        <x:v>0.02766</x:v>
      </x:c>
      <x:c r="H67" s="2"/>
      <x:c r="I67" s="5" t="str">
        <x:v>This file covers a fixed 60-month sample. Edit Allocation inputs to recalculate it. A new study period requires extending dates, source data, formulas and checks together. R and PDF are separate snapshots.</x:v>
      </x:c>
      <x:c r="J67" s="5"/>
      <x:c r="K67" s="5"/>
      <x:c r="L67" s="5"/>
      <x:c r="M67" s="5"/>
      <x:c r="N67" s="5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32" customHeight="1">
      <x:c r="A72" s="2"/>
      <x:c r="B72" s="2"/>
      <x:c r="C72" s="5" t="str">
        <x:v>Source originals and SHA-256 hashes were retained during validation. The accompanying R package includes extracted numeric returns and the source manifest.</x:v>
      </x:c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30" customHeight="1">
      <x:c r="A74" s="2"/>
      <x:c r="B74" s="2"/>
      <x:c r="C74" s="5" t="str">
        <x:v>Blue numbers are inputs. Black formulas calculate within a sheet. Green formulas link to another sheet. Summary results use dark text.</x:v>
      </x:c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</x:sheetData>
  <x:sheetProtection password="BE0E" sheet="1" objects="1" scenarios="1" formatCells="1" formatColumns="1" formatRows="1" insertColumns="1" insertRows="1" insertHyperlinks="1" deleteColumns="1" deleteRows="1" selectLockedCells="0" sort="1" autoFilter="1" pivotTables="1" selectUnlockedCells="0"/>
  <x:mergeCells>
    <x:mergeCell ref="C3:N3"/>
    <x:mergeCell ref="I7:N7"/>
    <x:mergeCell ref="I9:N9"/>
    <x:mergeCell ref="I10:N10"/>
    <x:mergeCell ref="I11:N11"/>
    <x:mergeCell ref="I14:N14"/>
    <x:mergeCell ref="I15:N15"/>
    <x:mergeCell ref="I16:N16"/>
    <x:mergeCell ref="I19:N19"/>
    <x:mergeCell ref="I20:N20"/>
    <x:mergeCell ref="I21:N21"/>
    <x:mergeCell ref="I24:N24"/>
    <x:mergeCell ref="I25:N25"/>
    <x:mergeCell ref="I26:N26"/>
    <x:mergeCell ref="I30:N30"/>
    <x:mergeCell ref="I31:N31"/>
    <x:mergeCell ref="I34:N34"/>
    <x:mergeCell ref="I35:N35"/>
    <x:mergeCell ref="I38:N38"/>
    <x:mergeCell ref="I39:N39"/>
    <x:mergeCell ref="I42:N42"/>
    <x:mergeCell ref="I43:N43"/>
    <x:mergeCell ref="I46:N46"/>
    <x:mergeCell ref="I47:N47"/>
    <x:mergeCell ref="I50:N50"/>
    <x:mergeCell ref="I51:N51"/>
    <x:mergeCell ref="I54:N54"/>
    <x:mergeCell ref="I55:N55"/>
    <x:mergeCell ref="I58:N58"/>
    <x:mergeCell ref="I59:N59"/>
    <x:mergeCell ref="I62:N62"/>
    <x:mergeCell ref="I63:N63"/>
    <x:mergeCell ref="I66:N66"/>
    <x:mergeCell ref="I67:N67"/>
    <x:mergeCell ref="C72:N72"/>
    <x:mergeCell ref="C74:N74"/>
  </x:mergeCells>
  <x:pageMargins left="0.7" right="0.7" top="0.75" bottom="0.75" header="0.3" footer="0.3"/>
</x:worksheet>
</file>