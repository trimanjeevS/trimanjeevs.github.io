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e44f9726e49bf" /></Relationships>
</file>

<file path=xl/workbook.xml><?xml version="1.0" encoding="utf-8"?>
<x:workbook xmlns:x="http://schemas.openxmlformats.org/spreadsheetml/2006/main">
  <x:workbookProtection workbookPassword="BE0E" lockStructure="1"/>
  <x:sheets>
    <x:sheet xmlns:r="http://schemas.openxmlformats.org/officeDocument/2006/relationships" name="Summary" sheetId="1" r:id="Rae90b68abd1043a8"/>
    <x:sheet xmlns:r="http://schemas.openxmlformats.org/officeDocument/2006/relationships" name="Assumptions" sheetId="2" r:id="R9d1ef0ed1e2640b0"/>
    <x:sheet xmlns:r="http://schemas.openxmlformats.org/officeDocument/2006/relationships" name="DCF" sheetId="3" r:id="Raa5113f23b774bfa"/>
    <x:sheet xmlns:r="http://schemas.openxmlformats.org/officeDocument/2006/relationships" name="Sensitivity" sheetId="4" r:id="R65d42892b2cb498d"/>
    <x:sheet xmlns:r="http://schemas.openxmlformats.org/officeDocument/2006/relationships" name="Sources" sheetId="5" r:id="R40ff9bb61a374ed3"/>
    <x:sheet xmlns:r="http://schemas.openxmlformats.org/officeDocument/2006/relationships" name="Methodology" sheetId="6" r:id="R45ee5566c468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&quot;FY:&quot;yy"/>
    <x:numFmt numFmtId="201" formatCode="#,##0;(#,##0);&quot;-&quot;"/>
    <x:numFmt numFmtId="202" formatCode="&quot;$&quot;0.00;(&quot;$&quot;0.00);&quot;-&quot;"/>
    <x:numFmt numFmtId="203" formatCode="d-mmm-yyyy"/>
    <x:numFmt numFmtId="204" formatCode="0"/>
    <x:numFmt numFmtId="205" formatCode="0.0%;(0.0%);&quot;-&quot;"/>
    <x:numFmt numFmtId="206" formatCode="0.00&quot;x&quot;"/>
    <x:numFmt numFmtId="207" formatCode="0.0&quot; years&quot;"/>
    <x:numFmt numFmtId="208" formatCode="0.000"/>
    <x:numFmt numFmtId="209" formatCode="0.00;(0.00);0.00"/>
    <x:numFmt numFmtId="210" formatCode="0.00%"/>
  </x:numFmts>
  <x:fonts count="16">
    <x:font>
      <x:sz val="11"/>
      <x:name val="Carlito"/>
    </x:font>
    <x:font>
      <x:sz val="10"/>
      <x:color rgb="FF202934"/>
      <x:name val="Arial"/>
    </x:font>
    <x:font>
      <x:b/>
      <x:sz val="17"/>
      <x:color rgb="FF233D5B"/>
      <x:name val="Arial"/>
    </x:font>
    <x:font>
      <x:i/>
      <x:sz val="10"/>
      <x:color rgb="FF687585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202934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  <x:font>
      <x:b/>
      <x:sz val="12"/>
      <x:color rgb="FF233D5B"/>
      <x:name val="Arial"/>
    </x:font>
    <x:font>
      <x:sz val="9"/>
      <x:color rgb="FF687585"/>
      <x:name val="Arial"/>
    </x:font>
    <x:font>
      <x:i/>
      <x:sz val="10"/>
      <x:color rgb="FF202934"/>
      <x:name val="Arial"/>
    </x:font>
    <x:font>
      <x:i/>
      <x:sz val="10"/>
      <x:color rgb="FF008000"/>
      <x:name val="Arial"/>
    </x:font>
    <x:font>
      <x:i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33D5B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F5F7FA"/>
      </x:patternFill>
    </x:fill>
    <x:fill>
      <x:patternFill patternType="solid">
        <x:fgColor rgb="FFDDE9F1"/>
      </x:patternFill>
    </x:fill>
  </x:fills>
  <x:borders count="5">
    <x:border/>
    <x:border>
      <x:bottom style="thin">
        <x:color rgb="FF233D5B"/>
      </x:bottom>
    </x:border>
    <x:border>
      <x:left style="dashed">
        <x:color rgb="FF687585"/>
      </x:left>
      <x:right style="dashed">
        <x:color rgb="FF687585"/>
      </x:right>
      <x:top style="dashed">
        <x:color rgb="FF687585"/>
      </x:top>
      <x:bottom style="dashed">
        <x:color rgb="FF687585"/>
      </x:bottom>
    </x:border>
    <x:border>
      <x:top style="thin">
        <x:color rgb="FFCBD4DE"/>
      </x:top>
    </x:border>
    <x:border>
      <x:left style="medium">
        <x:color rgb="FF233D5B"/>
      </x:left>
      <x:right style="medium">
        <x:color rgb="FF233D5B"/>
      </x:right>
      <x:top style="medium">
        <x:color rgb="FF233D5B"/>
      </x:top>
      <x:bottom style="medium">
        <x:color rgb="FF233D5B"/>
      </x:bottom>
    </x:border>
  </x:borders>
  <x:cellStyleXfs count="1">
    <x:xf numFmtId="0" fontId="0" fillId="0" borderId="0" applyProtection="1">
      <x:protection locked="1" hidden="0"/>
    </x:xf>
  </x:cellStyleXfs>
  <x:cellXfs count="8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3" fillId="0" borderId="1" xfId="0" applyNumberFormat="1" applyFont="1" applyFill="1" applyBorder="1" applyAlignment="1" applyProtection="1">
      <x:alignment vertical="center"/>
      <x:protection locked="1" hidden="0"/>
    </x:xf>
    <x:xf numFmtId="0" fontId="4" fillId="0" borderId="0" xfId="0" applyNumberFormat="1" applyFont="1" applyFill="1" applyBorder="1" applyAlignment="1" applyProtection="1">
      <x:alignment vertical="center"/>
      <x:protection locked="1" hidden="0"/>
    </x:xf>
    <x:xf numFmtId="0" fontId="4" fillId="0" borderId="0" xfId="0" applyNumberFormat="1" applyFont="1" applyFill="1" applyBorder="1" applyAlignment="1" applyProtection="1">
      <x:alignment horizontal="center" vertical="center"/>
      <x:protection locked="1" hidden="0"/>
    </x:xf>
    <x:xf numFmtId="0" fontId="4" fillId="0" borderId="2" xfId="0" applyNumberFormat="1" applyFont="1" applyFill="1" applyBorder="1" applyAlignment="1" applyProtection="1">
      <x:alignment horizontal="center" vertical="center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200" fontId="1" fillId="2" borderId="0" xfId="0" applyNumberFormat="1" applyFont="1" applyFill="1" applyBorder="1" applyAlignment="1" applyProtection="1">
      <x:alignment vertical="center"/>
      <x:protection locked="1" hidden="0"/>
    </x:xf>
    <x:xf numFmtId="0" fontId="5" fillId="2" borderId="0" xfId="0" applyNumberFormat="1" applyFont="1" applyFill="1" applyBorder="1" applyAlignment="1" applyProtection="1">
      <x:alignment vertical="center"/>
      <x:protection locked="1" hidden="0"/>
    </x:xf>
    <x:xf numFmtId="200" fontId="5" fillId="2" borderId="0" xfId="0" applyNumberFormat="1" applyFont="1" applyFill="1" applyBorder="1" applyAlignment="1" applyProtection="1">
      <x:alignment vertical="center"/>
      <x:protection locked="1" hidden="0"/>
    </x:xf>
    <x:xf numFmtId="0" fontId="6" fillId="0" borderId="0" xfId="0" applyNumberFormat="1" applyFont="1" applyFill="1" applyBorder="1" applyAlignment="1" applyProtection="1">
      <x:alignment vertical="center"/>
      <x:protection locked="1" hidden="0"/>
    </x:xf>
    <x:xf numFmtId="201" fontId="6" fillId="0" borderId="0" xfId="0" applyNumberFormat="1" applyFont="1" applyFill="1" applyBorder="1" applyAlignment="1" applyProtection="1">
      <x:alignment vertical="center"/>
      <x:protection locked="1" hidden="0"/>
    </x:xf>
    <x:xf numFmtId="201" fontId="1" fillId="0" borderId="0" xfId="0" applyNumberFormat="1" applyFont="1" applyFill="1" applyBorder="1" applyAlignment="1" applyProtection="1">
      <x:alignment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2" fontId="6" fillId="0" borderId="0" xfId="0" applyNumberFormat="1" applyFont="1" applyFill="1" applyBorder="1" applyAlignment="1" applyProtection="1">
      <x:alignment vertical="center"/>
      <x:protection locked="1" hidden="0"/>
    </x:xf>
    <x:xf numFmtId="203" fontId="6" fillId="0" borderId="0" xfId="0" applyNumberFormat="1" applyFont="1" applyFill="1" applyBorder="1" applyAlignment="1" applyProtection="1">
      <x:alignment vertical="center"/>
      <x:protection locked="1" hidden="0"/>
    </x:xf>
    <x:xf numFmtId="204" fontId="6" fillId="0" borderId="0" xfId="0" applyNumberFormat="1" applyFont="1" applyFill="1" applyBorder="1" applyAlignment="1" applyProtection="1">
      <x:alignment vertical="center"/>
      <x:protection locked="1" hidden="0"/>
    </x:xf>
    <x:xf numFmtId="204" fontId="6" fillId="3" borderId="0" xfId="0" applyNumberFormat="1" applyFont="1" applyFill="1" applyBorder="1" applyAlignment="1" applyProtection="1">
      <x:alignment vertical="center"/>
      <x:protection locked="1" hidden="0"/>
    </x:xf>
    <x:xf numFmtId="0" fontId="7" fillId="0" borderId="0" xfId="0" applyNumberFormat="1" applyFont="1" applyFill="1" applyBorder="1" applyAlignment="1" applyProtection="1">
      <x:alignment vertical="center"/>
      <x:protection locked="1" hidden="0"/>
    </x:xf>
    <x:xf numFmtId="205" fontId="6" fillId="0" borderId="0" xfId="0" applyNumberFormat="1" applyFont="1" applyFill="1" applyBorder="1" applyAlignment="1" applyProtection="1">
      <x:alignment vertical="center"/>
      <x:protection locked="1" hidden="0"/>
    </x:xf>
    <x:xf numFmtId="206" fontId="6" fillId="0" borderId="0" xfId="0" applyNumberFormat="1" applyFont="1" applyFill="1" applyBorder="1" applyAlignment="1" applyProtection="1">
      <x:alignment vertical="center"/>
      <x:protection locked="1" hidden="0"/>
    </x:xf>
    <x:xf numFmtId="207" fontId="6" fillId="0" borderId="0" xfId="0" applyNumberFormat="1" applyFont="1" applyFill="1" applyBorder="1" applyAlignment="1" applyProtection="1">
      <x:alignment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/>
      <x:protection locked="1" hidden="0"/>
    </x:xf>
    <x:xf numFmtId="205" fontId="6" fillId="3" borderId="0" xfId="0" applyNumberFormat="1" applyFont="1" applyFill="1" applyBorder="1" applyAlignment="1" applyProtection="1">
      <x:alignment vertical="center"/>
      <x:protection locked="1" hidden="0"/>
    </x:xf>
    <x:xf numFmtId="0" fontId="7" fillId="4" borderId="0" xfId="0" applyNumberFormat="1" applyFont="1" applyFill="1" applyBorder="1" applyAlignment="1" applyProtection="1">
      <x:alignment vertical="center"/>
      <x:protection locked="1" hidden="0"/>
    </x:xf>
    <x:xf numFmtId="205" fontId="7" fillId="4" borderId="0" xfId="0" applyNumberFormat="1" applyFont="1" applyFill="1" applyBorder="1" applyAlignment="1" applyProtection="1">
      <x:alignment vertical="center"/>
      <x:protection locked="1" hidden="0"/>
    </x:xf>
    <x:xf numFmtId="0" fontId="8" fillId="4" borderId="0" xfId="0" applyNumberFormat="1" applyFont="1" applyFill="1" applyBorder="1" applyAlignment="1" applyProtection="1">
      <x:alignment vertical="center"/>
      <x:protection locked="1" hidden="0"/>
    </x:xf>
    <x:xf numFmtId="0" fontId="1" fillId="3" borderId="0" xfId="0" applyNumberFormat="1" applyFont="1" applyFill="1" applyBorder="1" applyAlignment="1" applyProtection="1">
      <x:alignment vertical="center"/>
      <x:protection locked="1" hidden="0"/>
    </x:xf>
    <x:xf numFmtId="0" fontId="6" fillId="3" borderId="0" xfId="0" applyNumberFormat="1" applyFont="1" applyFill="1" applyBorder="1" applyAlignment="1" applyProtection="1">
      <x:alignment vertical="center"/>
      <x:protection locked="1" hidden="0"/>
    </x:xf>
    <x:xf numFmtId="0" fontId="9" fillId="4" borderId="0" xfId="0" applyNumberFormat="1" applyFont="1" applyFill="1" applyBorder="1" applyAlignment="1" applyProtection="1">
      <x:alignment vertical="center"/>
      <x:protection locked="1" hidden="0"/>
    </x:xf>
    <x:xf numFmtId="205" fontId="9" fillId="4" borderId="0" xfId="0" applyNumberFormat="1" applyFont="1" applyFill="1" applyBorder="1" applyAlignment="1" applyProtection="1">
      <x:alignment vertical="center"/>
      <x:protection locked="1" hidden="0"/>
    </x:xf>
    <x:xf numFmtId="200" fontId="5" fillId="0" borderId="0" xfId="0" applyNumberFormat="1" applyFont="1" applyFill="1" applyBorder="1" applyAlignment="1" applyProtection="1">
      <x:alignment vertical="center"/>
      <x:protection locked="1" hidden="0"/>
    </x:xf>
    <x:xf numFmtId="201" fontId="4" fillId="0" borderId="0" xfId="0" applyNumberFormat="1" applyFont="1" applyFill="1" applyBorder="1" applyAlignment="1" applyProtection="1">
      <x:alignment vertical="center"/>
      <x:protection locked="1" hidden="0"/>
    </x:xf>
    <x:xf numFmtId="201" fontId="7" fillId="0" borderId="0" xfId="0" applyNumberFormat="1" applyFont="1" applyFill="1" applyBorder="1" applyAlignment="1" applyProtection="1">
      <x:alignment vertical="center"/>
      <x:protection locked="1" hidden="0"/>
    </x:xf>
    <x:xf numFmtId="201" fontId="1" fillId="2" borderId="0" xfId="0" applyNumberFormat="1" applyFont="1" applyFill="1" applyBorder="1" applyAlignment="1" applyProtection="1">
      <x:alignment vertical="center"/>
      <x:protection locked="1" hidden="0"/>
    </x:xf>
    <x:xf numFmtId="201" fontId="5" fillId="2" borderId="0" xfId="0" applyNumberFormat="1" applyFont="1" applyFill="1" applyBorder="1" applyAlignment="1" applyProtection="1">
      <x:alignment vertical="center"/>
      <x:protection locked="1" hidden="0"/>
    </x:xf>
    <x:xf numFmtId="205" fontId="4" fillId="0" borderId="0" xfId="0" applyNumberFormat="1" applyFont="1" applyFill="1" applyBorder="1" applyAlignment="1" applyProtection="1">
      <x:alignment vertical="center"/>
      <x:protection locked="1" hidden="0"/>
    </x:xf>
    <x:xf numFmtId="205" fontId="1" fillId="0" borderId="0" xfId="0" applyNumberFormat="1" applyFont="1" applyFill="1" applyBorder="1" applyAlignment="1" applyProtection="1">
      <x:alignment vertical="center"/>
      <x:protection locked="1" hidden="0"/>
    </x:xf>
    <x:xf numFmtId="205" fontId="7" fillId="0" borderId="0" xfId="0" applyNumberFormat="1" applyFont="1" applyFill="1" applyBorder="1" applyAlignment="1" applyProtection="1">
      <x:alignment vertical="center"/>
      <x:protection locked="1" hidden="0"/>
    </x:xf>
    <x:xf numFmtId="202" fontId="7" fillId="0" borderId="0" xfId="0" applyNumberFormat="1" applyFont="1" applyFill="1" applyBorder="1" applyAlignment="1" applyProtection="1">
      <x:alignment vertical="center"/>
      <x:protection locked="1" hidden="0"/>
    </x:xf>
    <x:xf numFmtId="202" fontId="4" fillId="0" borderId="0" xfId="0" applyNumberFormat="1" applyFont="1" applyFill="1" applyBorder="1" applyAlignment="1" applyProtection="1">
      <x:alignment vertical="center"/>
      <x:protection locked="1" hidden="0"/>
    </x:xf>
    <x:xf numFmtId="208" fontId="4" fillId="0" borderId="0" xfId="0" applyNumberFormat="1" applyFont="1" applyFill="1" applyBorder="1" applyAlignment="1" applyProtection="1">
      <x:alignment vertical="center"/>
      <x:protection locked="1" hidden="0"/>
    </x:xf>
    <x:xf numFmtId="208" fontId="7" fillId="0" borderId="0" xfId="0" applyNumberFormat="1" applyFont="1" applyFill="1" applyBorder="1" applyAlignment="1" applyProtection="1">
      <x:alignment vertical="center"/>
      <x:protection locked="1" hidden="0"/>
    </x:xf>
    <x:xf numFmtId="201" fontId="1" fillId="4" borderId="0" xfId="0" applyNumberFormat="1" applyFont="1" applyFill="1" applyBorder="1" applyAlignment="1" applyProtection="1">
      <x:alignment vertical="center"/>
      <x:protection locked="1" hidden="0"/>
    </x:xf>
    <x:xf numFmtId="201" fontId="4" fillId="4" borderId="0" xfId="0" applyNumberFormat="1" applyFont="1" applyFill="1" applyBorder="1" applyAlignment="1" applyProtection="1">
      <x:alignment vertical="center"/>
      <x:protection locked="1" hidden="0"/>
    </x:xf>
    <x:xf numFmtId="201" fontId="7" fillId="4" borderId="0" xfId="0" applyNumberFormat="1" applyFont="1" applyFill="1" applyBorder="1" applyAlignment="1" applyProtection="1">
      <x:alignment vertical="center"/>
      <x:protection locked="1" hidden="0"/>
    </x:xf>
    <x:xf numFmtId="201" fontId="8" fillId="4" borderId="0" xfId="0" applyNumberFormat="1" applyFont="1" applyFill="1" applyBorder="1" applyAlignment="1" applyProtection="1">
      <x:alignment vertical="center"/>
      <x:protection locked="1" hidden="0"/>
    </x:xf>
    <x:xf numFmtId="201" fontId="10" fillId="4" borderId="0" xfId="0" applyNumberFormat="1" applyFont="1" applyFill="1" applyBorder="1" applyAlignment="1" applyProtection="1">
      <x:alignment vertical="center"/>
      <x:protection locked="1" hidden="0"/>
    </x:xf>
    <x:xf numFmtId="201" fontId="9" fillId="4" borderId="0" xfId="0" applyNumberFormat="1" applyFont="1" applyFill="1" applyBorder="1" applyAlignment="1" applyProtection="1">
      <x:alignment vertical="center"/>
      <x:protection locked="1" hidden="0"/>
    </x:xf>
    <x:xf numFmtId="0" fontId="8" fillId="4" borderId="3" xfId="0" applyNumberFormat="1" applyFont="1" applyFill="1" applyBorder="1" applyAlignment="1" applyProtection="1">
      <x:alignment vertical="center"/>
      <x:protection locked="1" hidden="0"/>
    </x:xf>
    <x:xf numFmtId="201" fontId="8" fillId="4" borderId="3" xfId="0" applyNumberFormat="1" applyFont="1" applyFill="1" applyBorder="1" applyAlignment="1" applyProtection="1">
      <x:alignment vertical="center"/>
      <x:protection locked="1" hidden="0"/>
    </x:xf>
    <x:xf numFmtId="201" fontId="10" fillId="4" borderId="3" xfId="0" applyNumberFormat="1" applyFont="1" applyFill="1" applyBorder="1" applyAlignment="1" applyProtection="1">
      <x:alignment vertical="center"/>
      <x:protection locked="1" hidden="0"/>
    </x:xf>
    <x:xf numFmtId="201" fontId="9" fillId="4" borderId="3" xfId="0" applyNumberFormat="1" applyFont="1" applyFill="1" applyBorder="1" applyAlignment="1" applyProtection="1">
      <x:alignment vertical="center"/>
      <x:protection locked="1" hidden="0"/>
    </x:xf>
    <x:xf numFmtId="205" fontId="9" fillId="4" borderId="3" xfId="0" applyNumberFormat="1" applyFont="1" applyFill="1" applyBorder="1" applyAlignment="1" applyProtection="1">
      <x:alignment vertical="center"/>
      <x:protection locked="1" hidden="0"/>
    </x:xf>
    <x:xf numFmtId="202" fontId="7" fillId="4" borderId="0" xfId="0" applyNumberFormat="1" applyFont="1" applyFill="1" applyBorder="1" applyAlignment="1" applyProtection="1">
      <x:alignment vertical="center"/>
      <x:protection locked="1" hidden="0"/>
    </x:xf>
    <x:xf numFmtId="202" fontId="9" fillId="4" borderId="0" xfId="0" applyNumberFormat="1" applyFont="1" applyFill="1" applyBorder="1" applyAlignment="1" applyProtection="1">
      <x:alignment vertical="center"/>
      <x:protection locked="1" hidden="0"/>
    </x:xf>
    <x:xf numFmtId="202" fontId="9" fillId="4" borderId="3" xfId="0" applyNumberFormat="1" applyFont="1" applyFill="1" applyBorder="1" applyAlignment="1" applyProtection="1">
      <x:alignment vertical="center"/>
      <x:protection locked="1" hidden="0"/>
    </x:xf>
    <x:xf numFmtId="201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5" fontId="4" fillId="2" borderId="0" xfId="0" applyNumberFormat="1" applyFont="1" applyFill="1" applyBorder="1" applyAlignment="1" applyProtection="1">
      <x:alignment vertical="center"/>
      <x:protection locked="1" hidden="0"/>
    </x:xf>
    <x:xf numFmtId="205" fontId="5" fillId="2" borderId="0" xfId="0" applyNumberFormat="1" applyFont="1" applyFill="1" applyBorder="1" applyAlignment="1" applyProtection="1">
      <x:alignment vertical="center"/>
      <x:protection locked="1" hidden="0"/>
    </x:xf>
    <x:xf numFmtId="205" fontId="10" fillId="0" borderId="0" xfId="0" applyNumberFormat="1" applyFont="1" applyFill="1" applyBorder="1" applyAlignment="1" applyProtection="1">
      <x:alignment vertical="center"/>
      <x:protection locked="1" hidden="0"/>
    </x:xf>
    <x:xf numFmtId="202" fontId="1" fillId="0" borderId="0" xfId="0" applyNumberFormat="1" applyFont="1" applyFill="1" applyBorder="1" applyAlignment="1" applyProtection="1">
      <x:alignment vertical="center"/>
      <x:protection locked="1" hidden="0"/>
    </x:xf>
    <x:xf numFmtId="202" fontId="1" fillId="0" borderId="4" xfId="0" applyNumberFormat="1" applyFont="1" applyFill="1" applyBorder="1" applyAlignment="1" applyProtection="1">
      <x:alignment vertical="center"/>
      <x:protection locked="1" hidden="0"/>
    </x:xf>
    <x:xf numFmtId="202" fontId="8" fillId="0" borderId="4" xfId="0" applyNumberFormat="1" applyFont="1" applyFill="1" applyBorder="1" applyAlignment="1" applyProtection="1">
      <x:alignment vertical="center"/>
      <x:protection locked="1" hidden="0"/>
    </x:xf>
    <x:xf numFmtId="209" fontId="1" fillId="0" borderId="0" xfId="0" applyNumberFormat="1" applyFont="1" applyFill="1" applyBorder="1" applyAlignment="1" applyProtection="1">
      <x:alignment vertical="center"/>
      <x:protection locked="1" hidden="0"/>
    </x:xf>
    <x:xf numFmtId="202" fontId="1" fillId="4" borderId="0" xfId="0" applyNumberFormat="1" applyFont="1" applyFill="1" applyBorder="1" applyAlignment="1" applyProtection="1">
      <x:alignment vertical="center"/>
      <x:protection locked="1" hidden="0"/>
    </x:xf>
    <x:xf numFmtId="202" fontId="8" fillId="4" borderId="0" xfId="0" applyNumberFormat="1" applyFont="1" applyFill="1" applyBorder="1" applyAlignment="1" applyProtection="1">
      <x:alignment vertical="center"/>
      <x:protection locked="1" hidden="0"/>
    </x:xf>
    <x:xf numFmtId="202" fontId="8" fillId="4" borderId="3" xfId="0" applyNumberFormat="1" applyFont="1" applyFill="1" applyBorder="1" applyAlignment="1" applyProtection="1">
      <x:alignment vertical="center"/>
      <x:protection locked="1" hidden="0"/>
    </x:xf>
    <x:xf numFmtId="0" fontId="11" fillId="0" borderId="0" xfId="0" applyNumberFormat="1" applyFont="1" applyFill="1" applyBorder="1" applyAlignment="1" applyProtection="1">
      <x:alignment vertical="center"/>
      <x:protection locked="1" hidden="0"/>
    </x:xf>
    <x:xf numFmtId="0" fontId="1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8" fillId="0" borderId="0" xfId="0" applyNumberFormat="1" applyFont="1" applyFill="1" applyBorder="1" applyAlignment="1" applyProtection="1">
      <x:alignment vertical="center"/>
      <x:protection locked="1" hidden="0"/>
    </x:xf>
    <x:xf numFmtId="0" fontId="1" fillId="0" borderId="0" xfId="0" applyNumberFormat="1" applyFont="1" applyFill="1" applyBorder="1" applyAlignment="1" applyProtection="1">
      <x:alignment vertical="top" wrapText="1"/>
      <x:protection locked="1" hidden="0"/>
    </x:xf>
    <x:xf numFmtId="210" fontId="5" fillId="2" borderId="0" xfId="0" applyNumberFormat="1" applyFont="1" applyFill="1" applyBorder="1" applyAlignment="1" applyProtection="1">
      <x:alignment vertical="center"/>
      <x:protection locked="1" hidden="0"/>
    </x:xf>
    <x:xf numFmtId="210" fontId="10" fillId="0" borderId="0" xfId="0" applyNumberFormat="1" applyFont="1" applyFill="1" applyBorder="1" applyAlignment="1" applyProtection="1">
      <x:alignment vertical="center"/>
      <x:protection locked="1" hidden="0"/>
    </x:xf>
    <x:xf numFmtId="202" fontId="1" fillId="5" borderId="0" xfId="0" applyNumberFormat="1" applyFont="1" applyFill="1" applyBorder="1" applyAlignment="1" applyProtection="1">
      <x:alignment vertical="center"/>
      <x:protection locked="1" hidden="0"/>
    </x:xf>
    <x:xf numFmtId="202" fontId="8" fillId="5" borderId="4" xfId="0" applyNumberFormat="1" applyFont="1" applyFill="1" applyBorder="1" applyAlignment="1" applyProtection="1">
      <x:alignment vertical="center"/>
      <x:protection locked="1" hidden="0"/>
    </x:xf>
    <x:xf numFmtId="202" fontId="8" fillId="6" borderId="4" xfId="0" applyNumberFormat="1" applyFont="1" applyFill="1" applyBorder="1" applyAlignment="1" applyProtection="1">
      <x:alignment vertical="center"/>
      <x:protection locked="1" hidden="0"/>
    </x:xf>
    <x:xf numFmtId="0" fontId="13" fillId="0" borderId="0" xfId="0" applyNumberFormat="1" applyFont="1" applyFill="1" applyBorder="1" applyAlignment="1" applyProtection="1">
      <x:alignment vertical="center"/>
      <x:protection locked="1" hidden="0"/>
    </x:xf>
    <x:xf numFmtId="201" fontId="13" fillId="0" borderId="0" xfId="0" applyNumberFormat="1" applyFont="1" applyFill="1" applyBorder="1" applyAlignment="1" applyProtection="1">
      <x:alignment vertical="center"/>
      <x:protection locked="1" hidden="0"/>
    </x:xf>
    <x:xf numFmtId="205" fontId="14" fillId="0" borderId="0" xfId="0" applyNumberFormat="1" applyFont="1" applyFill="1" applyBorder="1" applyAlignment="1" applyProtection="1">
      <x:alignment vertical="center"/>
      <x:protection locked="1" hidden="0"/>
    </x:xf>
    <x:xf numFmtId="205" fontId="13" fillId="0" borderId="0" xfId="0" applyNumberFormat="1" applyFont="1" applyFill="1" applyBorder="1" applyAlignment="1" applyProtection="1">
      <x:alignment vertical="center"/>
      <x:protection locked="1" hidden="0"/>
    </x:xf>
    <x:xf numFmtId="205" fontId="15" fillId="0" borderId="0" xfId="0" applyNumberFormat="1" applyFont="1" applyFill="1" applyBorder="1" applyAlignment="1" applyProtection="1">
      <x:alignment vertical="center"/>
      <x:protection locked="1" hidden="0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e8e88aec4fd8" /><Relationship Type="http://schemas.openxmlformats.org/officeDocument/2006/relationships/theme" Target="/xl/theme/theme1.xml" Id="Ra6a8086f50954c48" /><Relationship Type="http://schemas.openxmlformats.org/officeDocument/2006/relationships/sharedStrings" Target="/xl/sharedStrings.xml" Id="Rc23b1d7023af448f" /><Relationship Type="http://schemas.openxmlformats.org/officeDocument/2006/relationships/worksheet" Target="/xl/worksheets/sheet1.xml" Id="Rae90b68abd1043a8" /><Relationship Type="http://schemas.openxmlformats.org/officeDocument/2006/relationships/worksheet" Target="/xl/worksheets/sheet2.xml" Id="R9d1ef0ed1e2640b0" /><Relationship Type="http://schemas.openxmlformats.org/officeDocument/2006/relationships/worksheet" Target="/xl/worksheets/sheet3.xml" Id="Raa5113f23b774bfa" /><Relationship Type="http://schemas.openxmlformats.org/officeDocument/2006/relationships/worksheet" Target="/xl/worksheets/sheet4.xml" Id="R65d42892b2cb498d" /><Relationship Type="http://schemas.openxmlformats.org/officeDocument/2006/relationships/worksheet" Target="/xl/worksheets/sheet5.xml" Id="R40ff9bb61a374ed3" /><Relationship Type="http://schemas.openxmlformats.org/officeDocument/2006/relationships/worksheet" Target="/xl/worksheets/sheet6.xml" Id="R45ee5566c46841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8f5fdb314240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Forecast revenue and free cash flow (USD 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233D5B"/>
              </a:solidFill>
            </a:ln>
          </c:spPr>
          <c:marker>
            <c:symbol val="none"/>
          </c:marker>
          <c:cat>
            <c:strRef>
              <c:f>'Summary'!$C$45:$C$49</c:f>
              <c:strCache>
                <c:ptCount val="0"/>
              </c:strCache>
            </c:strRef>
          </c:cat>
          <c:val>
            <c:numRef>
              <c:f>'Summary'!$D$45:$D$49</c:f>
              <c:numCache>
                <c:formatCode>$0,"B"</c:formatCode>
                <c:ptCount val="0"/>
              </c:numCache>
            </c:numRef>
          </c:val>
          <c:smooth val="0"/>
        </c:ser>
        <c:ser>
          <c:idx val="1"/>
          <c:order val="1"/>
          <c:tx>
            <c:v>Unlevered FCF</c:v>
          </c:tx>
          <c:spPr>
            <a:ln xmlns:a="http://schemas.openxmlformats.org/drawingml/2006/main" w="19050">
              <a:solidFill>
                <a:srgbClr val="187E83"/>
              </a:solidFill>
            </a:ln>
          </c:spPr>
          <c:marker>
            <c:symbol val="none"/>
          </c:marker>
          <c:cat>
            <c:strRef>
              <c:f>'Summary'!$C$45:$C$49</c:f>
              <c:strCache>
                <c:ptCount val="0"/>
              </c:strCache>
            </c:strRef>
          </c:cat>
          <c:val>
            <c:numRef>
              <c:f>'Summary'!$E$45:$E$49</c:f>
              <c:numCache>
                <c:formatCode>$0,"B"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8f5fdb314240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404e44437945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3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Microsoft: equity research and DCF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Historical case as of 31 July 2025. USD millions unless stated. Independent estimates, not company guidance.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Selected case</x:v>
      </x:c>
      <x:c r="D5" s="8" t="str">
        <x:f>'Assumptions'!E5</x:f>
        <x:v>Base</x:v>
      </x:c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12" t="str">
        <x:v>Selected-case valuation</x:v>
      </x:c>
      <x:c r="D7" s="12" t="str">
        <x:v>Value</x:v>
      </x:c>
      <x:c r="E7" s="2"/>
      <x:c r="F7" s="2"/>
      <x:c r="G7" s="12" t="str">
        <x:v>Reported results</x:v>
      </x:c>
      <x:c r="H7" s="12" t="str">
        <x:v>FY2024</x:v>
      </x:c>
      <x:c r="I7" s="12" t="str">
        <x:v>FY2025</x:v>
      </x:c>
      <x:c r="J7" s="2"/>
      <x:c r="K7" s="2"/>
      <x:c r="L7" s="2"/>
    </x:row>
    <x:row r="8" ht="21" customHeight="1">
      <x:c r="A8" s="2"/>
      <x:c r="B8" s="2"/>
      <x:c r="C8" s="53" t="str">
        <x:v>Implied value per share (USD)</x:v>
      </x:c>
      <x:c r="D8" s="71" t="n">
        <x:f>'DCF'!D66</x:f>
        <x:v>312.73965999550484</x:v>
      </x:c>
      <x:c r="E8" s="2"/>
      <x:c r="F8" s="2"/>
      <x:c r="G8" s="2" t="str">
        <x:v>Revenue</x:v>
      </x:c>
      <x:c r="H8" s="16" t="n">
        <x:f>'Sources'!E8</x:f>
        <x:v>245122</x:v>
      </x:c>
      <x:c r="I8" s="16" t="n">
        <x:f>'Sources'!F8</x:f>
        <x:v>281724</x:v>
      </x:c>
      <x:c r="J8" s="2"/>
      <x:c r="K8" s="2"/>
      <x:c r="L8" s="2"/>
    </x:row>
    <x:row r="9" ht="21" customHeight="1">
      <x:c r="A9" s="2"/>
      <x:c r="B9" s="2"/>
      <x:c r="C9" s="2" t="str">
        <x:v>Historical reference price (USD)</x:v>
      </x:c>
      <x:c r="D9" s="65" t="n">
        <x:f>'DCF'!D67</x:f>
        <x:v>533.5</x:v>
      </x:c>
      <x:c r="E9" s="2"/>
      <x:c r="F9" s="2"/>
      <x:c r="G9" s="2" t="str">
        <x:v>Operating margin</x:v>
      </x:c>
      <x:c r="H9" s="41" t="n">
        <x:f>'Sources'!E11/'Sources'!E8</x:f>
        <x:v>0.44644299573273716</x:v>
      </x:c>
      <x:c r="I9" s="41" t="n">
        <x:f>'Sources'!F11/'Sources'!F8</x:f>
        <x:v>0.4562195624085985</x:v>
      </x:c>
      <x:c r="J9" s="2"/>
      <x:c r="K9" s="2"/>
      <x:c r="L9" s="2"/>
    </x:row>
    <x:row r="10" ht="21" customHeight="1">
      <x:c r="A10" s="2"/>
      <x:c r="B10" s="2"/>
      <x:c r="C10" s="2" t="str">
        <x:v>Value / reference price less one</x:v>
      </x:c>
      <x:c r="D10" s="41" t="n">
        <x:f>'DCF'!D68</x:f>
        <x:v>-0.4137963261565045</x:v>
      </x:c>
      <x:c r="E10" s="2"/>
      <x:c r="F10" s="2"/>
      <x:c r="G10" s="2" t="str">
        <x:v>Operating cash flow</x:v>
      </x:c>
      <x:c r="H10" s="16" t="n">
        <x:f>'Sources'!E14</x:f>
        <x:v>118548</x:v>
      </x:c>
      <x:c r="I10" s="16" t="n">
        <x:f>'Sources'!F14</x:f>
        <x:v>136162</x:v>
      </x:c>
      <x:c r="J10" s="2"/>
      <x:c r="K10" s="2"/>
      <x:c r="L10" s="2"/>
    </x:row>
    <x:row r="11" ht="21" customHeight="1">
      <x:c r="A11" s="2"/>
      <x:c r="B11" s="2"/>
      <x:c r="C11" s="2" t="str">
        <x:v>WACC</x:v>
      </x:c>
      <x:c r="D11" s="41" t="n">
        <x:f>'DCF'!D49</x:f>
        <x:v>0.08904518324134812</x:v>
      </x:c>
      <x:c r="E11" s="2"/>
      <x:c r="F11" s="2"/>
      <x:c r="G11" s="2" t="str">
        <x:v>Cash capex</x:v>
      </x:c>
      <x:c r="H11" s="16" t="n">
        <x:f>'Sources'!E15</x:f>
        <x:v>44477</x:v>
      </x:c>
      <x:c r="I11" s="16" t="n">
        <x:f>'Sources'!F15</x:f>
        <x:v>64551</x:v>
      </x:c>
      <x:c r="J11" s="2"/>
      <x:c r="K11" s="2"/>
      <x:c r="L11" s="2"/>
    </x:row>
    <x:row r="12" ht="21" customHeight="1">
      <x:c r="A12" s="2"/>
      <x:c r="B12" s="2"/>
      <x:c r="C12" s="2" t="str">
        <x:v>Terminal growth</x:v>
      </x:c>
      <x:c r="D12" s="41" t="n">
        <x:f>'DCF'!D51</x:f>
        <x:v>0.03</x:v>
      </x:c>
      <x:c r="E12" s="2"/>
      <x:c r="F12" s="2"/>
      <x:c r="G12" s="2" t="str">
        <x:v>CFO less cash capex</x:v>
      </x:c>
      <x:c r="H12" s="16" t="n">
        <x:f>H10-H11</x:f>
        <x:v>74071</x:v>
      </x:c>
      <x:c r="I12" s="16" t="n">
        <x:f>I10-I11</x:f>
        <x:v>71611</x:v>
      </x:c>
      <x:c r="J12" s="2"/>
      <x:c r="K12" s="2"/>
      <x:c r="L12" s="2"/>
    </x:row>
    <x:row r="13" ht="21" customHeight="1">
      <x:c r="A13" s="2"/>
      <x:c r="B13" s="2"/>
      <x:c r="C13" s="2" t="str">
        <x:v>Terminal value / enterprise value</x:v>
      </x:c>
      <x:c r="D13" s="41" t="n">
        <x:f>'DCF'!D69</x:f>
        <x:v>0.8156126191868913</x:v>
      </x:c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72" t="str">
        <x:v>Valuation reading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1" customHeight="1">
      <x:c r="A19" s="2"/>
      <x:c r="B19" s="2"/>
      <x:c r="C19" s="17" t="str">
        <x:f>IF(D8&lt;D9,"Below the historical reference price under the selected assumptions.","Above the historical reference price under the selected assumptions.")</x:f>
        <x:v>Below the historical reference price under the selected assumptions.</x:v>
      </x:c>
      <x:c r="D19" s="17"/>
      <x:c r="E19" s="17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17"/>
      <x:c r="D20" s="17"/>
      <x:c r="E20" s="17"/>
      <x:c r="F20" s="2"/>
      <x:c r="G20" s="2"/>
      <x:c r="H20" s="2"/>
      <x:c r="I20" s="2"/>
      <x:c r="J20" s="2"/>
      <x:c r="K20" s="2"/>
      <x:c r="L20" s="2"/>
    </x:row>
    <x:row r="21" ht="21" customHeight="1">
      <x:c r="A21" s="2"/>
      <x:c r="B21" s="2"/>
      <x:c r="C21" s="17"/>
      <x:c r="D21" s="17"/>
      <x:c r="E21" s="17"/>
      <x:c r="F21" s="2"/>
      <x:c r="G21" s="2"/>
      <x:c r="H21" s="2"/>
      <x:c r="I21" s="2"/>
      <x:c r="J21" s="2"/>
      <x:c r="K21" s="2"/>
      <x:c r="L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/>
      <x:c r="C24" s="72" t="str">
        <x:v>What drives the result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17" t="str">
        <x:v>Growth and operating margin determine after-tax profit. Capital spending and working capital determine cash conversion.</x:v>
      </x:c>
      <x:c r="D26" s="17"/>
      <x:c r="E26" s="17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17"/>
      <x:c r="D27" s="17"/>
      <x:c r="E27" s="17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17"/>
      <x:c r="D28" s="17"/>
      <x:c r="E28" s="17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17"/>
      <x:c r="D29" s="17"/>
      <x:c r="E29" s="17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2" customHeight="1">
      <x:c r="A34" s="2"/>
      <x:c r="B34" s="2"/>
      <x:c r="C34" s="17" t="str">
        <x:v>Research focus: whether cloud and AI monetization can support sustained growth while datacentre investment moderates.</x:v>
      </x:c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32" customHeight="1">
      <x:c r="A36" s="2"/>
      <x:c r="B36" s="2"/>
      <x:c r="C36" s="17" t="str">
        <x:v>Valuation depends materially on terminal assumptions. Review the WACC / growth grid and compare operating cases before drawing conclusions.</x:v>
      </x:c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32" customHeight="1">
      <x:c r="A38" s="2"/>
      <x:c r="B38" s="2"/>
      <x:c r="C38" s="17" t="str">
        <x:v>Select a case in Assumptions!D5. The same operating model, DCF and sensitivity grid recalculate. Reported history remains fixed.</x:v>
      </x:c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32" customHeight="1">
      <x:c r="A40" s="2"/>
      <x:c r="B40" s="2"/>
      <x:c r="C40" s="73" t="str">
        <x:v>Prepared by Trimanjeev Sawhney. Historical portfolio research case. Refresh data and the report before presenting it as current research.</x:v>
      </x:c>
      <x:c r="D40" s="73"/>
      <x:c r="E40" s="73"/>
      <x:c r="F40" s="73"/>
      <x:c r="G40" s="73"/>
      <x:c r="H40" s="73"/>
      <x:c r="I40" s="73"/>
      <x:c r="J40" s="73"/>
      <x:c r="K40" s="73"/>
      <x:c r="L40" s="73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/>
      <x:c r="B44" s="2"/>
      <x:c r="C44" s="2" t="str">
        <x:v>Forecast year</x:v>
      </x:c>
      <x:c r="D44" s="2" t="str">
        <x:v>Revenue</x:v>
      </x:c>
      <x:c r="E44" s="2" t="str">
        <x:v>Unlevered FCF</x:v>
      </x:c>
      <x:c r="F44" s="2"/>
      <x:c r="G44" s="2"/>
      <x:c r="H44" s="2"/>
      <x:c r="I44" s="2"/>
      <x:c r="J44" s="2"/>
      <x:c r="K44" s="2"/>
      <x:c r="L44" s="2"/>
    </x:row>
    <x:row r="45" ht="21" customHeight="1">
      <x:c r="A45" s="2"/>
      <x:c r="B45" s="2"/>
      <x:c r="C45" s="2" t="str">
        <x:v>FY2026</x:v>
      </x:c>
      <x:c r="D45" s="16" t="n">
        <x:f>'DCF'!H9</x:f>
        <x:v>326799.83999999997</x:v>
      </x:c>
      <x:c r="E45" s="16" t="n">
        <x:f>'DCF'!H32</x:f>
        <x:v>55005.342768</x:v>
      </x:c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 t="str">
        <x:v>FY2027</x:v>
      </x:c>
      <x:c r="D46" s="16" t="n">
        <x:f>'DCF'!I9</x:f>
        <x:v>375819.81599999993</x:v>
      </x:c>
      <x:c r="E46" s="16" t="n">
        <x:f>'DCF'!I32</x:f>
        <x:v>78062.30792639998</x:v>
      </x:c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 t="str">
        <x:v>FY2028</x:v>
      </x:c>
      <x:c r="D47" s="16" t="n">
        <x:f>'DCF'!J9</x:f>
        <x:v>424676.3920799999</x:v>
      </x:c>
      <x:c r="E47" s="16" t="n">
        <x:f>'DCF'!J32</x:f>
        <x:v>108936.15497119798</x:v>
      </x:c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2" t="str">
        <x:v>FY2029</x:v>
      </x:c>
      <x:c r="D48" s="16" t="n">
        <x:f>'DCF'!K9</x:f>
        <x:v>471390.79520879994</x:v>
      </x:c>
      <x:c r="E48" s="16" t="n">
        <x:f>'DCF'!K32</x:f>
        <x:v>148003.35469649453</x:v>
      </x:c>
      <x:c r="F48" s="2"/>
      <x:c r="G48" s="2"/>
      <x:c r="H48" s="2"/>
      <x:c r="I48" s="2"/>
      <x:c r="J48" s="2"/>
      <x:c r="K48" s="2"/>
      <x:c r="L48" s="2"/>
    </x:row>
    <x:row r="49" ht="21" customHeight="1">
      <x:c r="A49" s="2"/>
      <x:c r="B49" s="2"/>
      <x:c r="C49" s="2" t="str">
        <x:v>FY2030</x:v>
      </x:c>
      <x:c r="D49" s="16" t="n">
        <x:f>'DCF'!L9</x:f>
        <x:v>513815.96677759197</x:v>
      </x:c>
      <x:c r="E49" s="16" t="n">
        <x:f>'DCF'!L32</x:f>
        <x:v>184267.65228369713</x:v>
      </x:c>
      <x:c r="F49" s="2"/>
      <x:c r="G49" s="2"/>
      <x:c r="H49" s="2"/>
      <x:c r="I49" s="2"/>
      <x:c r="J49" s="2"/>
      <x:c r="K49" s="2"/>
      <x:c r="L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C19:E21"/>
    <x:mergeCell ref="C26:E29"/>
    <x:mergeCell ref="C34:L34"/>
    <x:mergeCell ref="C36:L36"/>
    <x:mergeCell ref="C38:L38"/>
    <x:mergeCell ref="C40:L40"/>
  </x:mergeCells>
  <x:pageMargins left="0.7" right="0.7" top="0.75" bottom="0.75" header="0.3" footer="0.3"/>
  <x:drawing xmlns:r="http://schemas.openxmlformats.org/officeDocument/2006/relationships" r:id="R49404e444379455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Valuation assumptions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Independent estimates. Blue inputs are editable; yellow cells control the forecast.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Case: 1 Base, 2 Upside, 3 Downside</x:v>
      </x:c>
      <x:c r="D5" s="21" t="n">
        <x:v>1</x:v>
      </x:c>
      <x:c r="E5" s="22" t="str">
        <x:f>IF(AND(ISNUMBER(D5),D5=INT(D5),D5&gt;=1,D5&lt;=3),CHOOSE(D5,"Base","Upside","Downside"),NA())</x:f>
        <x:v>Base</x:v>
      </x:c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12" t="str">
        <x:v>Capital cost and asset assumptions</x:v>
      </x:c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1" customHeight="1">
      <x:c r="A9" s="2"/>
      <x:c r="B9" s="2"/>
      <x:c r="C9" s="2" t="str">
        <x:v>Risk-free rate</x:v>
      </x:c>
      <x:c r="D9" s="23" t="n">
        <x:v>0.043</x:v>
      </x:c>
      <x:c r="E9" s="2"/>
      <x:c r="F9" s="17" t="str">
        <x:v>Rates and beta are research assumptions, not sourced market observations.</x:v>
      </x:c>
      <x:c r="G9" s="17"/>
      <x:c r="H9" s="17"/>
      <x:c r="I9" s="17"/>
      <x:c r="J9" s="17"/>
      <x:c r="K9" s="17"/>
      <x:c r="L9" s="17"/>
    </x:row>
    <x:row r="10" ht="21" customHeight="1">
      <x:c r="A10" s="2"/>
      <x:c r="B10" s="2"/>
      <x:c r="C10" s="2" t="str">
        <x:v>Equity risk premium</x:v>
      </x:c>
      <x:c r="D10" s="23" t="n">
        <x:v>0.045</x:v>
      </x:c>
      <x:c r="E10" s="2"/>
      <x:c r="F10" s="17"/>
      <x:c r="G10" s="17"/>
      <x:c r="H10" s="17"/>
      <x:c r="I10" s="17"/>
      <x:c r="J10" s="17"/>
      <x:c r="K10" s="17"/>
      <x:c r="L10" s="17"/>
    </x:row>
    <x:row r="11" ht="21" customHeight="1">
      <x:c r="A11" s="2"/>
      <x:c r="B11" s="2"/>
      <x:c r="C11" s="2" t="str">
        <x:v>Levered beta</x:v>
      </x:c>
      <x:c r="D11" s="24" t="n">
        <x:v>1.05</x:v>
      </x:c>
      <x:c r="E11" s="2"/>
      <x:c r="F11" s="17"/>
      <x:c r="G11" s="17"/>
      <x:c r="H11" s="17"/>
      <x:c r="I11" s="17"/>
      <x:c r="J11" s="17"/>
      <x:c r="K11" s="17"/>
      <x:c r="L11" s="17"/>
    </x:row>
    <x:row r="12" ht="21" customHeight="1">
      <x:c r="A12" s="2"/>
      <x:c r="B12" s="2"/>
      <x:c r="C12" s="2" t="str">
        <x:v>Pre-tax borrowing cost</x:v>
      </x:c>
      <x:c r="D12" s="23" t="n">
        <x:v>0.045</x:v>
      </x:c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/>
      <x:c r="C13" s="2" t="str">
        <x:v>Debt tax shield rate</x:v>
      </x:c>
      <x:c r="D13" s="23" t="n">
        <x:v>0.21</x:v>
      </x:c>
      <x:c r="E13" s="2"/>
      <x:c r="F13" s="17" t="str">
        <x:v>Straight-line depreciation; half-year convention for new assets. Lives approximate a blended datacentre asset base.</x:v>
      </x:c>
      <x:c r="G13" s="17"/>
      <x:c r="H13" s="17"/>
      <x:c r="I13" s="17"/>
      <x:c r="J13" s="17"/>
      <x:c r="K13" s="17"/>
      <x:c r="L13" s="17"/>
    </x:row>
    <x:row r="14" ht="21" customHeight="1">
      <x:c r="A14" s="2"/>
      <x:c r="B14" s="2"/>
      <x:c r="C14" s="2" t="str">
        <x:v>Opening PP&amp;E remaining life</x:v>
      </x:c>
      <x:c r="D14" s="25" t="n">
        <x:v>6</x:v>
      </x:c>
      <x:c r="E14" s="2"/>
      <x:c r="F14" s="17"/>
      <x:c r="G14" s="17"/>
      <x:c r="H14" s="17"/>
      <x:c r="I14" s="17"/>
      <x:c r="J14" s="17"/>
      <x:c r="K14" s="17"/>
      <x:c r="L14" s="17"/>
    </x:row>
    <x:row r="15" ht="21" customHeight="1">
      <x:c r="A15" s="2"/>
      <x:c r="B15" s="2"/>
      <x:c r="C15" s="2" t="str">
        <x:v>New PP&amp;E useful life</x:v>
      </x:c>
      <x:c r="D15" s="25" t="n">
        <x:v>8</x:v>
      </x:c>
      <x:c r="E15" s="2"/>
      <x:c r="F15" s="17"/>
      <x:c r="G15" s="17"/>
      <x:c r="H15" s="17"/>
      <x:c r="I15" s="17"/>
      <x:c r="J15" s="17"/>
      <x:c r="K15" s="17"/>
      <x:c r="L15" s="17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1" customHeight="1">
      <x:c r="A21" s="2"/>
      <x:c r="B21" s="2"/>
      <x:c r="C21" s="26" t="str">
        <x:v>Terminal growth: active</x:v>
      </x:c>
      <x:c r="D21" s="29" t="n">
        <x:f>IF(ISERROR($E$5),NA(),IF(CHOOSE($D$5,ISNUMBER(D22),ISNUMBER(D23),ISNUMBER(D24)),CHOOSE($D$5,D22,D23,D24),NA()))</x:f>
        <x:v>0.03</x:v>
      </x:c>
      <x:c r="E21" s="2"/>
      <x:c r="F21" s="2"/>
      <x:c r="G21" s="2"/>
      <x:c r="H21" s="2"/>
      <x:c r="I21" s="2"/>
      <x:c r="J21" s="2"/>
      <x:c r="K21" s="2"/>
      <x:c r="L21" s="2"/>
    </x:row>
    <x:row r="22" ht="21" customHeight="1">
      <x:c r="A22" s="2"/>
      <x:c r="B22" s="2"/>
      <x:c r="C22" s="2" t="str">
        <x:v>Base</x:v>
      </x:c>
      <x:c r="D22" s="27" t="n">
        <x:v>0.03</x:v>
      </x:c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 t="str">
        <x:v>Upside</x:v>
      </x:c>
      <x:c r="D23" s="27" t="n">
        <x:v>0.035</x:v>
      </x:c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/>
      <x:c r="C24" s="2" t="str">
        <x:v>Downside</x:v>
      </x:c>
      <x:c r="D24" s="27" t="n">
        <x:v>0.025</x:v>
      </x:c>
      <x:c r="E24" s="2"/>
      <x:c r="F24" s="2"/>
      <x:c r="G24" s="2"/>
      <x:c r="H24" s="2"/>
      <x:c r="I24" s="2"/>
      <x:c r="J24" s="2"/>
      <x:c r="K24" s="2"/>
      <x:c r="L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26" t="str">
        <x:v>Terminal return on capital: active</x:v>
      </x:c>
      <x:c r="D26" s="29" t="n">
        <x:f>IF(ISERROR($E$5),NA(),IF(CHOOSE($D$5,ISNUMBER(D27),ISNUMBER(D28),ISNUMBER(D29)),CHOOSE($D$5,D27,D28,D29),NA()))</x:f>
        <x:v>0.2</x:v>
      </x:c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 t="str">
        <x:v>Base</x:v>
      </x:c>
      <x:c r="D27" s="27" t="n">
        <x:v>0.2</x:v>
      </x:c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2" t="str">
        <x:v>Upside</x:v>
      </x:c>
      <x:c r="D28" s="27" t="n">
        <x:v>0.25</x:v>
      </x:c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 t="str">
        <x:v>Downside</x:v>
      </x:c>
      <x:c r="D29" s="27" t="n">
        <x:v>0.15</x:v>
      </x:c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6" t="str">
        <x:v>WACC case adjustment: active</x:v>
      </x:c>
      <x:c r="D31" s="29" t="n">
        <x:f>IF(ISERROR($E$5),NA(),IF(CHOOSE($D$5,ISNUMBER(D32),ISNUMBER(D33),ISNUMBER(D34)),CHOOSE($D$5,D32,D33,D34),NA()))</x:f>
        <x:v>0</x:v>
      </x:c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 t="str">
        <x:v>Base</x:v>
      </x:c>
      <x:c r="D32" s="27" t="n">
        <x:v>0</x:v>
      </x:c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 t="str">
        <x:v>Upside</x:v>
      </x:c>
      <x:c r="D33" s="27" t="n">
        <x:v>-0.005</x:v>
      </x:c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/>
      <x:c r="C34" s="2" t="str">
        <x:v>Downside</x:v>
      </x:c>
      <x:c r="D34" s="27" t="n">
        <x:v>0.01</x:v>
      </x:c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13" t="n">
        <x:v>46203</x:v>
      </x:c>
      <x:c r="I36" s="13" t="n">
        <x:v>46568</x:v>
      </x:c>
      <x:c r="J36" s="13" t="n">
        <x:v>46934</x:v>
      </x:c>
      <x:c r="K36" s="13" t="n">
        <x:v>47299</x:v>
      </x:c>
      <x:c r="L36" s="13" t="n">
        <x:v>47664</x:v>
      </x:c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30" t="str">
        <x:v>Revenue growth</x:v>
      </x:c>
      <x:c r="D38" s="30" t="str">
        <x:v>Active</x:v>
      </x:c>
      <x:c r="E38" s="30"/>
      <x:c r="F38" s="30"/>
      <x:c r="G38" s="30"/>
      <x:c r="H38" s="34" t="n">
        <x:f>IF(ISERROR($E$5),NA(),IF(CHOOSE($D$5,AND(ISNUMBER(H39),H39&gt;-1),AND(ISNUMBER(H40),H40&gt;-1),AND(ISNUMBER(H41),H41&gt;-1)),CHOOSE($D$5,H39,H40,H41),NA()))</x:f>
        <x:v>0.16</x:v>
      </x:c>
      <x:c r="I38" s="34" t="n">
        <x:f>IF(ISERROR($E$5),NA(),IF(CHOOSE($D$5,AND(ISNUMBER(I39),I39&gt;-1),AND(ISNUMBER(I40),I40&gt;-1),AND(ISNUMBER(I41),I41&gt;-1)),CHOOSE($D$5,I39,I40,I41),NA()))</x:f>
        <x:v>0.15</x:v>
      </x:c>
      <x:c r="J38" s="34" t="n">
        <x:f>IF(ISERROR($E$5),NA(),IF(CHOOSE($D$5,AND(ISNUMBER(J39),J39&gt;-1),AND(ISNUMBER(J40),J40&gt;-1),AND(ISNUMBER(J41),J41&gt;-1)),CHOOSE($D$5,J39,J40,J41),NA()))</x:f>
        <x:v>0.13</x:v>
      </x:c>
      <x:c r="K38" s="34" t="n">
        <x:f>IF(ISERROR($E$5),NA(),IF(CHOOSE($D$5,AND(ISNUMBER(K39),K39&gt;-1),AND(ISNUMBER(K40),K40&gt;-1),AND(ISNUMBER(K41),K41&gt;-1)),CHOOSE($D$5,K39,K40,K41),NA()))</x:f>
        <x:v>0.11</x:v>
      </x:c>
      <x:c r="L38" s="34" t="n">
        <x:f>IF(ISERROR($E$5),NA(),IF(CHOOSE($D$5,AND(ISNUMBER(L39),L39&gt;-1),AND(ISNUMBER(L40),L40&gt;-1),AND(ISNUMBER(L41),L41&gt;-1)),CHOOSE($D$5,L39,L40,L41),NA()))</x:f>
        <x:v>0.09</x:v>
      </x:c>
    </x:row>
    <x:row r="39" ht="21" customHeight="1">
      <x:c r="A39" s="2"/>
      <x:c r="B39" s="2"/>
      <x:c r="C39" s="2" t="str">
        <x:v>Base</x:v>
      </x:c>
      <x:c r="D39" s="2"/>
      <x:c r="E39" s="2"/>
      <x:c r="F39" s="2"/>
      <x:c r="G39" s="2"/>
      <x:c r="H39" s="27" t="n">
        <x:v>0.16</x:v>
      </x:c>
      <x:c r="I39" s="27" t="n">
        <x:v>0.15</x:v>
      </x:c>
      <x:c r="J39" s="27" t="n">
        <x:v>0.13</x:v>
      </x:c>
      <x:c r="K39" s="27" t="n">
        <x:v>0.11</x:v>
      </x:c>
      <x:c r="L39" s="27" t="n">
        <x:v>0.09</x:v>
      </x:c>
    </x:row>
    <x:row r="40" ht="21" customHeight="1">
      <x:c r="A40" s="2"/>
      <x:c r="B40" s="2"/>
      <x:c r="C40" s="2" t="str">
        <x:v>Upside</x:v>
      </x:c>
      <x:c r="D40" s="2"/>
      <x:c r="E40" s="2"/>
      <x:c r="F40" s="2"/>
      <x:c r="G40" s="2"/>
      <x:c r="H40" s="27" t="n">
        <x:v>0.2</x:v>
      </x:c>
      <x:c r="I40" s="27" t="n">
        <x:v>0.19</x:v>
      </x:c>
      <x:c r="J40" s="27" t="n">
        <x:v>0.17</x:v>
      </x:c>
      <x:c r="K40" s="27" t="n">
        <x:v>0.15</x:v>
      </x:c>
      <x:c r="L40" s="27" t="n">
        <x:v>0.12</x:v>
      </x:c>
    </x:row>
    <x:row r="41" ht="21" customHeight="1">
      <x:c r="A41" s="2"/>
      <x:c r="B41" s="2"/>
      <x:c r="C41" s="2" t="str">
        <x:v>Downside</x:v>
      </x:c>
      <x:c r="D41" s="2"/>
      <x:c r="E41" s="2"/>
      <x:c r="F41" s="2"/>
      <x:c r="G41" s="2"/>
      <x:c r="H41" s="27" t="n">
        <x:v>0.1</x:v>
      </x:c>
      <x:c r="I41" s="27" t="n">
        <x:v>0.09</x:v>
      </x:c>
      <x:c r="J41" s="27" t="n">
        <x:v>0.08</x:v>
      </x:c>
      <x:c r="K41" s="27" t="n">
        <x:v>0.07</x:v>
      </x:c>
      <x:c r="L41" s="27" t="n">
        <x:v>0.06</x:v>
      </x:c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/>
      <x:c r="B43" s="2"/>
      <x:c r="C43" s="30" t="str">
        <x:v>Operating margin</x:v>
      </x:c>
      <x:c r="D43" s="30" t="str">
        <x:v>Active</x:v>
      </x:c>
      <x:c r="E43" s="30"/>
      <x:c r="F43" s="30"/>
      <x:c r="G43" s="30"/>
      <x:c r="H43" s="34" t="n">
        <x:f>IF(ISERROR($E$5),NA(),IF(CHOOSE($D$5,AND(ISNUMBER(H44),H44&gt;=0,H44&lt;=1),AND(ISNUMBER(H45),H45&gt;=0,H45&lt;=1),AND(ISNUMBER(H46),H46&gt;=0,H46&lt;=1)),CHOOSE($D$5,H44,H45,H46),NA()))</x:f>
        <x:v>0.455</x:v>
      </x:c>
      <x:c r="I43" s="34" t="n">
        <x:f>IF(ISERROR($E$5),NA(),IF(CHOOSE($D$5,AND(ISNUMBER(I44),I44&gt;=0,I44&lt;=1),AND(ISNUMBER(I45),I45&gt;=0,I45&lt;=1),AND(ISNUMBER(I46),I46&gt;=0,I46&lt;=1)),CHOOSE($D$5,I44,I45,I46),NA()))</x:f>
        <x:v>0.46</x:v>
      </x:c>
      <x:c r="J43" s="34" t="n">
        <x:f>IF(ISERROR($E$5),NA(),IF(CHOOSE($D$5,AND(ISNUMBER(J44),J44&gt;=0,J44&lt;=1),AND(ISNUMBER(J45),J45&gt;=0,J45&lt;=1),AND(ISNUMBER(J46),J46&gt;=0,J46&lt;=1)),CHOOSE($D$5,J44,J45,J46),NA()))</x:f>
        <x:v>0.465</x:v>
      </x:c>
      <x:c r="K43" s="34" t="n">
        <x:f>IF(ISERROR($E$5),NA(),IF(CHOOSE($D$5,AND(ISNUMBER(K44),K44&gt;=0,K44&lt;=1),AND(ISNUMBER(K45),K45&gt;=0,K45&lt;=1),AND(ISNUMBER(K46),K46&gt;=0,K46&lt;=1)),CHOOSE($D$5,K44,K45,K46),NA()))</x:f>
        <x:v>0.47</x:v>
      </x:c>
      <x:c r="L43" s="34" t="n">
        <x:f>IF(ISERROR($E$5),NA(),IF(CHOOSE($D$5,AND(ISNUMBER(L44),L44&gt;=0,L44&lt;=1),AND(ISNUMBER(L45),L45&gt;=0,L45&lt;=1),AND(ISNUMBER(L46),L46&gt;=0,L46&lt;=1)),CHOOSE($D$5,L44,L45,L46),NA()))</x:f>
        <x:v>0.475</x:v>
      </x:c>
    </x:row>
    <x:row r="44" ht="21" customHeight="1">
      <x:c r="A44" s="2"/>
      <x:c r="B44" s="2"/>
      <x:c r="C44" s="2" t="str">
        <x:v>Base</x:v>
      </x:c>
      <x:c r="D44" s="2"/>
      <x:c r="E44" s="2"/>
      <x:c r="F44" s="2"/>
      <x:c r="G44" s="2"/>
      <x:c r="H44" s="27" t="n">
        <x:v>0.455</x:v>
      </x:c>
      <x:c r="I44" s="27" t="n">
        <x:v>0.46</x:v>
      </x:c>
      <x:c r="J44" s="27" t="n">
        <x:v>0.465</x:v>
      </x:c>
      <x:c r="K44" s="27" t="n">
        <x:v>0.47</x:v>
      </x:c>
      <x:c r="L44" s="27" t="n">
        <x:v>0.475</x:v>
      </x:c>
    </x:row>
    <x:row r="45" ht="21" customHeight="1">
      <x:c r="A45" s="2"/>
      <x:c r="B45" s="2"/>
      <x:c r="C45" s="2" t="str">
        <x:v>Upside</x:v>
      </x:c>
      <x:c r="D45" s="2"/>
      <x:c r="E45" s="2"/>
      <x:c r="F45" s="2"/>
      <x:c r="G45" s="2"/>
      <x:c r="H45" s="27" t="n">
        <x:v>0.47</x:v>
      </x:c>
      <x:c r="I45" s="27" t="n">
        <x:v>0.48</x:v>
      </x:c>
      <x:c r="J45" s="27" t="n">
        <x:v>0.49</x:v>
      </x:c>
      <x:c r="K45" s="27" t="n">
        <x:v>0.495</x:v>
      </x:c>
      <x:c r="L45" s="27" t="n">
        <x:v>0.5</x:v>
      </x:c>
    </x:row>
    <x:row r="46" ht="21" customHeight="1">
      <x:c r="A46" s="2"/>
      <x:c r="B46" s="2"/>
      <x:c r="C46" s="2" t="str">
        <x:v>Downside</x:v>
      </x:c>
      <x:c r="D46" s="2"/>
      <x:c r="E46" s="2"/>
      <x:c r="F46" s="2"/>
      <x:c r="G46" s="2"/>
      <x:c r="H46" s="27" t="n">
        <x:v>0.43</x:v>
      </x:c>
      <x:c r="I46" s="27" t="n">
        <x:v>0.425</x:v>
      </x:c>
      <x:c r="J46" s="27" t="n">
        <x:v>0.425</x:v>
      </x:c>
      <x:c r="K46" s="27" t="n">
        <x:v>0.43</x:v>
      </x:c>
      <x:c r="L46" s="27" t="n">
        <x:v>0.435</x:v>
      </x:c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30" t="str">
        <x:v>Cash capex / revenue</x:v>
      </x:c>
      <x:c r="D48" s="30" t="str">
        <x:v>Active</x:v>
      </x:c>
      <x:c r="E48" s="30"/>
      <x:c r="F48" s="30"/>
      <x:c r="G48" s="30"/>
      <x:c r="H48" s="34" t="n">
        <x:f>IF(ISERROR($E$5),NA(),IF(CHOOSE($D$5,AND(ISNUMBER(H49),H49&gt;=0),AND(ISNUMBER(H50),H50&gt;=0),AND(ISNUMBER(H51),H51&gt;=0)),CHOOSE($D$5,H49,H50,H51),NA()))</x:f>
        <x:v>0.26</x:v>
      </x:c>
      <x:c r="I48" s="34" t="n">
        <x:f>IF(ISERROR($E$5),NA(),IF(CHOOSE($D$5,AND(ISNUMBER(I49),I49&gt;=0),AND(ISNUMBER(I50),I50&gt;=0),AND(ISNUMBER(I51),I51&gt;=0)),CHOOSE($D$5,I49,I50,I51),NA()))</x:f>
        <x:v>0.25</x:v>
      </x:c>
      <x:c r="J48" s="34" t="n">
        <x:f>IF(ISERROR($E$5),NA(),IF(CHOOSE($D$5,AND(ISNUMBER(J49),J49&gt;=0),AND(ISNUMBER(J50),J50&gt;=0),AND(ISNUMBER(J51),J51&gt;=0)),CHOOSE($D$5,J49,J50,J51),NA()))</x:f>
        <x:v>0.23</x:v>
      </x:c>
      <x:c r="K48" s="34" t="n">
        <x:f>IF(ISERROR($E$5),NA(),IF(CHOOSE($D$5,AND(ISNUMBER(K49),K49&gt;=0),AND(ISNUMBER(K50),K50&gt;=0),AND(ISNUMBER(K51),K51&gt;=0)),CHOOSE($D$5,K49,K50,K51),NA()))</x:f>
        <x:v>0.2</x:v>
      </x:c>
      <x:c r="L48" s="34" t="n">
        <x:f>IF(ISERROR($E$5),NA(),IF(CHOOSE($D$5,AND(ISNUMBER(L49),L49&gt;=0),AND(ISNUMBER(L50),L50&gt;=0),AND(ISNUMBER(L51),L51&gt;=0)),CHOOSE($D$5,L49,L50,L51),NA()))</x:f>
        <x:v>0.18</x:v>
      </x:c>
    </x:row>
    <x:row r="49" ht="21" customHeight="1">
      <x:c r="A49" s="2"/>
      <x:c r="B49" s="2"/>
      <x:c r="C49" s="2" t="str">
        <x:v>Base</x:v>
      </x:c>
      <x:c r="D49" s="2"/>
      <x:c r="E49" s="2"/>
      <x:c r="F49" s="2"/>
      <x:c r="G49" s="2"/>
      <x:c r="H49" s="27" t="n">
        <x:v>0.26</x:v>
      </x:c>
      <x:c r="I49" s="27" t="n">
        <x:v>0.25</x:v>
      </x:c>
      <x:c r="J49" s="27" t="n">
        <x:v>0.23</x:v>
      </x:c>
      <x:c r="K49" s="27" t="n">
        <x:v>0.2</x:v>
      </x:c>
      <x:c r="L49" s="27" t="n">
        <x:v>0.18</x:v>
      </x:c>
    </x:row>
    <x:row r="50" ht="21" customHeight="1">
      <x:c r="A50" s="2"/>
      <x:c r="B50" s="2"/>
      <x:c r="C50" s="2" t="str">
        <x:v>Upside</x:v>
      </x:c>
      <x:c r="D50" s="2"/>
      <x:c r="E50" s="2"/>
      <x:c r="F50" s="2"/>
      <x:c r="G50" s="2"/>
      <x:c r="H50" s="27" t="n">
        <x:v>0.25</x:v>
      </x:c>
      <x:c r="I50" s="27" t="n">
        <x:v>0.23</x:v>
      </x:c>
      <x:c r="J50" s="27" t="n">
        <x:v>0.2</x:v>
      </x:c>
      <x:c r="K50" s="27" t="n">
        <x:v>0.18</x:v>
      </x:c>
      <x:c r="L50" s="27" t="n">
        <x:v>0.16</x:v>
      </x:c>
    </x:row>
    <x:row r="51" ht="21" customHeight="1">
      <x:c r="A51" s="2"/>
      <x:c r="B51" s="2"/>
      <x:c r="C51" s="2" t="str">
        <x:v>Downside</x:v>
      </x:c>
      <x:c r="D51" s="2"/>
      <x:c r="E51" s="2"/>
      <x:c r="F51" s="2"/>
      <x:c r="G51" s="2"/>
      <x:c r="H51" s="27" t="n">
        <x:v>0.28</x:v>
      </x:c>
      <x:c r="I51" s="27" t="n">
        <x:v>0.27</x:v>
      </x:c>
      <x:c r="J51" s="27" t="n">
        <x:v>0.25</x:v>
      </x:c>
      <x:c r="K51" s="27" t="n">
        <x:v>0.23</x:v>
      </x:c>
      <x:c r="L51" s="27" t="n">
        <x:v>0.21</x:v>
      </x:c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1" customHeight="1">
      <x:c r="A53" s="2"/>
      <x:c r="B53" s="2"/>
      <x:c r="C53" s="30" t="str">
        <x:v>Finance-lease additions / revenue</x:v>
      </x:c>
      <x:c r="D53" s="30" t="str">
        <x:v>Active</x:v>
      </x:c>
      <x:c r="E53" s="30"/>
      <x:c r="F53" s="30"/>
      <x:c r="G53" s="30"/>
      <x:c r="H53" s="34" t="n">
        <x:f>IF(ISERROR($E$5),NA(),IF(CHOOSE($D$5,AND(ISNUMBER(H54),H54&gt;=0),AND(ISNUMBER(H55),H55&gt;=0),AND(ISNUMBER(H56),H56&gt;=0)),CHOOSE($D$5,H54,H55,H56),NA()))</x:f>
        <x:v>0.08</x:v>
      </x:c>
      <x:c r="I53" s="34" t="n">
        <x:f>IF(ISERROR($E$5),NA(),IF(CHOOSE($D$5,AND(ISNUMBER(I54),I54&gt;=0),AND(ISNUMBER(I55),I55&gt;=0),AND(ISNUMBER(I56),I56&gt;=0)),CHOOSE($D$5,I54,I55,I56),NA()))</x:f>
        <x:v>0.07</x:v>
      </x:c>
      <x:c r="J53" s="34" t="n">
        <x:f>IF(ISERROR($E$5),NA(),IF(CHOOSE($D$5,AND(ISNUMBER(J54),J54&gt;=0),AND(ISNUMBER(J55),J55&gt;=0),AND(ISNUMBER(J56),J56&gt;=0)),CHOOSE($D$5,J54,J55,J56),NA()))</x:f>
        <x:v>0.06</x:v>
      </x:c>
      <x:c r="K53" s="34" t="n">
        <x:f>IF(ISERROR($E$5),NA(),IF(CHOOSE($D$5,AND(ISNUMBER(K54),K54&gt;=0),AND(ISNUMBER(K55),K55&gt;=0),AND(ISNUMBER(K56),K56&gt;=0)),CHOOSE($D$5,K54,K55,K56),NA()))</x:f>
        <x:v>0.05</x:v>
      </x:c>
      <x:c r="L53" s="34" t="n">
        <x:f>IF(ISERROR($E$5),NA(),IF(CHOOSE($D$5,AND(ISNUMBER(L54),L54&gt;=0),AND(ISNUMBER(L55),L55&gt;=0),AND(ISNUMBER(L56),L56&gt;=0)),CHOOSE($D$5,L54,L55,L56),NA()))</x:f>
        <x:v>0.04</x:v>
      </x:c>
    </x:row>
    <x:row r="54" ht="21" customHeight="1">
      <x:c r="A54" s="2"/>
      <x:c r="B54" s="2"/>
      <x:c r="C54" s="2" t="str">
        <x:v>Base</x:v>
      </x:c>
      <x:c r="D54" s="2"/>
      <x:c r="E54" s="2"/>
      <x:c r="F54" s="2"/>
      <x:c r="G54" s="2"/>
      <x:c r="H54" s="27" t="n">
        <x:v>0.08</x:v>
      </x:c>
      <x:c r="I54" s="27" t="n">
        <x:v>0.07</x:v>
      </x:c>
      <x:c r="J54" s="27" t="n">
        <x:v>0.06</x:v>
      </x:c>
      <x:c r="K54" s="27" t="n">
        <x:v>0.05</x:v>
      </x:c>
      <x:c r="L54" s="27" t="n">
        <x:v>0.04</x:v>
      </x:c>
    </x:row>
    <x:row r="55" ht="21" customHeight="1">
      <x:c r="A55" s="2"/>
      <x:c r="B55" s="2"/>
      <x:c r="C55" s="2" t="str">
        <x:v>Upside</x:v>
      </x:c>
      <x:c r="D55" s="2"/>
      <x:c r="E55" s="2"/>
      <x:c r="F55" s="2"/>
      <x:c r="G55" s="2"/>
      <x:c r="H55" s="27" t="n">
        <x:v>0.07</x:v>
      </x:c>
      <x:c r="I55" s="27" t="n">
        <x:v>0.06</x:v>
      </x:c>
      <x:c r="J55" s="27" t="n">
        <x:v>0.05</x:v>
      </x:c>
      <x:c r="K55" s="27" t="n">
        <x:v>0.04</x:v>
      </x:c>
      <x:c r="L55" s="27" t="n">
        <x:v>0.03</x:v>
      </x:c>
    </x:row>
    <x:row r="56" ht="21" customHeight="1">
      <x:c r="A56" s="2"/>
      <x:c r="B56" s="2"/>
      <x:c r="C56" s="2" t="str">
        <x:v>Downside</x:v>
      </x:c>
      <x:c r="D56" s="2"/>
      <x:c r="E56" s="2"/>
      <x:c r="F56" s="2"/>
      <x:c r="G56" s="2"/>
      <x:c r="H56" s="27" t="n">
        <x:v>0.09</x:v>
      </x:c>
      <x:c r="I56" s="27" t="n">
        <x:v>0.08</x:v>
      </x:c>
      <x:c r="J56" s="27" t="n">
        <x:v>0.07</x:v>
      </x:c>
      <x:c r="K56" s="27" t="n">
        <x:v>0.06</x:v>
      </x:c>
      <x:c r="L56" s="27" t="n">
        <x:v>0.05</x:v>
      </x:c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1" customHeight="1">
      <x:c r="A58" s="2"/>
      <x:c r="B58" s="2"/>
      <x:c r="C58" s="30" t="str">
        <x:v>Operating working capital / revenue</x:v>
      </x:c>
      <x:c r="D58" s="30" t="str">
        <x:v>Active</x:v>
      </x:c>
      <x:c r="E58" s="30"/>
      <x:c r="F58" s="30"/>
      <x:c r="G58" s="30"/>
      <x:c r="H58" s="34" t="n">
        <x:f>IF(ISERROR($E$5),NA(),IF(CHOOSE($D$5,AND(ISNUMBER(H59),H59&gt;=-1,H59&lt;=1),AND(ISNUMBER(H60),H60&gt;=-1,H60&lt;=1),AND(ISNUMBER(H61),H61&gt;=-1,H61&lt;=1)),CHOOSE($D$5,H59,H60,H61),NA()))</x:f>
        <x:v>-0.067</x:v>
      </x:c>
      <x:c r="I58" s="34" t="n">
        <x:f>IF(ISERROR($E$5),NA(),IF(CHOOSE($D$5,AND(ISNUMBER(I59),I59&gt;=-1,I59&lt;=1),AND(ISNUMBER(I60),I60&gt;=-1,I60&lt;=1),AND(ISNUMBER(I61),I61&gt;=-1,I61&lt;=1)),CHOOSE($D$5,I59,I60,I61),NA()))</x:f>
        <x:v>-0.067</x:v>
      </x:c>
      <x:c r="J58" s="34" t="n">
        <x:f>IF(ISERROR($E$5),NA(),IF(CHOOSE($D$5,AND(ISNUMBER(J59),J59&gt;=-1,J59&lt;=1),AND(ISNUMBER(J60),J60&gt;=-1,J60&lt;=1),AND(ISNUMBER(J61),J61&gt;=-1,J61&lt;=1)),CHOOSE($D$5,J59,J60,J61),NA()))</x:f>
        <x:v>-0.067</x:v>
      </x:c>
      <x:c r="K58" s="34" t="n">
        <x:f>IF(ISERROR($E$5),NA(),IF(CHOOSE($D$5,AND(ISNUMBER(K59),K59&gt;=-1,K59&lt;=1),AND(ISNUMBER(K60),K60&gt;=-1,K60&lt;=1),AND(ISNUMBER(K61),K61&gt;=-1,K61&lt;=1)),CHOOSE($D$5,K59,K60,K61),NA()))</x:f>
        <x:v>-0.067</x:v>
      </x:c>
      <x:c r="L58" s="34" t="n">
        <x:f>IF(ISERROR($E$5),NA(),IF(CHOOSE($D$5,AND(ISNUMBER(L59),L59&gt;=-1,L59&lt;=1),AND(ISNUMBER(L60),L60&gt;=-1,L60&lt;=1),AND(ISNUMBER(L61),L61&gt;=-1,L61&lt;=1)),CHOOSE($D$5,L59,L60,L61),NA()))</x:f>
        <x:v>-0.067</x:v>
      </x:c>
    </x:row>
    <x:row r="59" ht="21" customHeight="1">
      <x:c r="A59" s="2"/>
      <x:c r="B59" s="2"/>
      <x:c r="C59" s="2" t="str">
        <x:v>Base</x:v>
      </x:c>
      <x:c r="D59" s="2"/>
      <x:c r="E59" s="2"/>
      <x:c r="F59" s="2"/>
      <x:c r="G59" s="2"/>
      <x:c r="H59" s="27" t="n">
        <x:v>-0.067</x:v>
      </x:c>
      <x:c r="I59" s="27" t="n">
        <x:v>-0.067</x:v>
      </x:c>
      <x:c r="J59" s="27" t="n">
        <x:v>-0.067</x:v>
      </x:c>
      <x:c r="K59" s="27" t="n">
        <x:v>-0.067</x:v>
      </x:c>
      <x:c r="L59" s="27" t="n">
        <x:v>-0.067</x:v>
      </x:c>
    </x:row>
    <x:row r="60" ht="21" customHeight="1">
      <x:c r="A60" s="2"/>
      <x:c r="B60" s="2"/>
      <x:c r="C60" s="2" t="str">
        <x:v>Upside</x:v>
      </x:c>
      <x:c r="D60" s="2"/>
      <x:c r="E60" s="2"/>
      <x:c r="F60" s="2"/>
      <x:c r="G60" s="2"/>
      <x:c r="H60" s="27" t="n">
        <x:v>-0.07</x:v>
      </x:c>
      <x:c r="I60" s="27" t="n">
        <x:v>-0.07</x:v>
      </x:c>
      <x:c r="J60" s="27" t="n">
        <x:v>-0.07</x:v>
      </x:c>
      <x:c r="K60" s="27" t="n">
        <x:v>-0.07</x:v>
      </x:c>
      <x:c r="L60" s="27" t="n">
        <x:v>-0.07</x:v>
      </x:c>
    </x:row>
    <x:row r="61" ht="21" customHeight="1">
      <x:c r="A61" s="2"/>
      <x:c r="B61" s="2"/>
      <x:c r="C61" s="2" t="str">
        <x:v>Downside</x:v>
      </x:c>
      <x:c r="D61" s="2"/>
      <x:c r="E61" s="2"/>
      <x:c r="F61" s="2"/>
      <x:c r="G61" s="2"/>
      <x:c r="H61" s="27" t="n">
        <x:v>-0.05</x:v>
      </x:c>
      <x:c r="I61" s="27" t="n">
        <x:v>-0.05</x:v>
      </x:c>
      <x:c r="J61" s="27" t="n">
        <x:v>-0.05</x:v>
      </x:c>
      <x:c r="K61" s="27" t="n">
        <x:v>-0.05</x:v>
      </x:c>
      <x:c r="L61" s="27" t="n">
        <x:v>-0.05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1" customHeight="1">
      <x:c r="A63" s="2"/>
      <x:c r="B63" s="2"/>
      <x:c r="C63" s="30" t="str">
        <x:v>Operating cash tax rate</x:v>
      </x:c>
      <x:c r="D63" s="30" t="str">
        <x:v>Active</x:v>
      </x:c>
      <x:c r="E63" s="30"/>
      <x:c r="F63" s="30"/>
      <x:c r="G63" s="30"/>
      <x:c r="H63" s="34" t="n">
        <x:f>IF(ISERROR($E$5),NA(),IF(CHOOSE($D$5,AND(ISNUMBER(H64),H64&gt;=0,H64&lt;=1),AND(ISNUMBER(H65),H65&gt;=0,H65&lt;=1),AND(ISNUMBER(H66),H66&gt;=0,H66&lt;=1)),CHOOSE($D$5,H64,H65,H66),NA()))</x:f>
        <x:v>0.21</x:v>
      </x:c>
      <x:c r="I63" s="34" t="n">
        <x:f>IF(ISERROR($E$5),NA(),IF(CHOOSE($D$5,AND(ISNUMBER(I64),I64&gt;=0,I64&lt;=1),AND(ISNUMBER(I65),I65&gt;=0,I65&lt;=1),AND(ISNUMBER(I66),I66&gt;=0,I66&lt;=1)),CHOOSE($D$5,I64,I65,I66),NA()))</x:f>
        <x:v>0.21</x:v>
      </x:c>
      <x:c r="J63" s="34" t="n">
        <x:f>IF(ISERROR($E$5),NA(),IF(CHOOSE($D$5,AND(ISNUMBER(J64),J64&gt;=0,J64&lt;=1),AND(ISNUMBER(J65),J65&gt;=0,J65&lt;=1),AND(ISNUMBER(J66),J66&gt;=0,J66&lt;=1)),CHOOSE($D$5,J64,J65,J66),NA()))</x:f>
        <x:v>0.21</x:v>
      </x:c>
      <x:c r="K63" s="34" t="n">
        <x:f>IF(ISERROR($E$5),NA(),IF(CHOOSE($D$5,AND(ISNUMBER(K64),K64&gt;=0,K64&lt;=1),AND(ISNUMBER(K65),K65&gt;=0,K65&lt;=1),AND(ISNUMBER(K66),K66&gt;=0,K66&lt;=1)),CHOOSE($D$5,K64,K65,K66),NA()))</x:f>
        <x:v>0.21</x:v>
      </x:c>
      <x:c r="L63" s="34" t="n">
        <x:f>IF(ISERROR($E$5),NA(),IF(CHOOSE($D$5,AND(ISNUMBER(L64),L64&gt;=0,L64&lt;=1),AND(ISNUMBER(L65),L65&gt;=0,L65&lt;=1),AND(ISNUMBER(L66),L66&gt;=0,L66&lt;=1)),CHOOSE($D$5,L64,L65,L66),NA()))</x:f>
        <x:v>0.21</x:v>
      </x:c>
    </x:row>
    <x:row r="64" ht="21" customHeight="1">
      <x:c r="A64" s="2"/>
      <x:c r="B64" s="2"/>
      <x:c r="C64" s="2" t="str">
        <x:v>Base</x:v>
      </x:c>
      <x:c r="D64" s="2"/>
      <x:c r="E64" s="2"/>
      <x:c r="F64" s="2"/>
      <x:c r="G64" s="2"/>
      <x:c r="H64" s="27" t="n">
        <x:v>0.21</x:v>
      </x:c>
      <x:c r="I64" s="27" t="n">
        <x:v>0.21</x:v>
      </x:c>
      <x:c r="J64" s="27" t="n">
        <x:v>0.21</x:v>
      </x:c>
      <x:c r="K64" s="27" t="n">
        <x:v>0.21</x:v>
      </x:c>
      <x:c r="L64" s="27" t="n">
        <x:v>0.21</x:v>
      </x:c>
    </x:row>
    <x:row r="65" ht="21" customHeight="1">
      <x:c r="A65" s="2"/>
      <x:c r="B65" s="2"/>
      <x:c r="C65" s="2" t="str">
        <x:v>Upside</x:v>
      </x:c>
      <x:c r="D65" s="2"/>
      <x:c r="E65" s="2"/>
      <x:c r="F65" s="2"/>
      <x:c r="G65" s="2"/>
      <x:c r="H65" s="27" t="n">
        <x:v>0.2</x:v>
      </x:c>
      <x:c r="I65" s="27" t="n">
        <x:v>0.2</x:v>
      </x:c>
      <x:c r="J65" s="27" t="n">
        <x:v>0.2</x:v>
      </x:c>
      <x:c r="K65" s="27" t="n">
        <x:v>0.2</x:v>
      </x:c>
      <x:c r="L65" s="27" t="n">
        <x:v>0.2</x:v>
      </x:c>
    </x:row>
    <x:row r="66" ht="21" customHeight="1">
      <x:c r="A66" s="2"/>
      <x:c r="B66" s="2"/>
      <x:c r="C66" s="2" t="str">
        <x:v>Downside</x:v>
      </x:c>
      <x:c r="D66" s="2"/>
      <x:c r="E66" s="2"/>
      <x:c r="F66" s="2"/>
      <x:c r="G66" s="2"/>
      <x:c r="H66" s="27" t="n">
        <x:v>0.23</x:v>
      </x:c>
      <x:c r="I66" s="27" t="n">
        <x:v>0.23</x:v>
      </x:c>
      <x:c r="J66" s="27" t="n">
        <x:v>0.23</x:v>
      </x:c>
      <x:c r="K66" s="27" t="n">
        <x:v>0.23</x:v>
      </x:c>
      <x:c r="L66" s="27" t="n">
        <x:v>0.23</x:v>
      </x:c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32" customHeight="1">
      <x:c r="A69" s="2"/>
      <x:c r="B69" s="2"/>
      <x:c r="C69" s="17" t="str">
        <x:v>Base: growth moderates as the business scales; operating leverage and lower investment intensity support free cash flow.</x:v>
      </x:c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32" customHeight="1">
      <x:c r="A71" s="2"/>
      <x:c r="B71" s="2"/>
      <x:c r="C71" s="17" t="str">
        <x:v>Upside: faster cloud and AI monetization, stronger margins and better capital efficiency. Downside: slower growth and sustained spending.</x:v>
      </x:c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32" customHeight="1">
      <x:c r="A73" s="2"/>
      <x:c r="B73" s="2"/>
      <x:c r="C73" s="17" t="str">
        <x:v>Terminal reinvestment = terminal NOPAT x growth / return on capital. The terminal period explicitly funds sustainable growth.</x:v>
      </x:c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32" customHeight="1">
      <x:c r="A75" s="2"/>
      <x:c r="B75" s="2"/>
      <x:c r="C75" s="17" t="str">
        <x:v>SBC remains an expense within operating margin. It is not added back to free cash flow. Period-end shares stay fixed.</x:v>
      </x:c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32" customHeight="1">
      <x:c r="A77" s="2"/>
      <x:c r="B77" s="2"/>
      <x:c r="C77" s="17" t="str">
        <x:v>Opening and new-asset lives, rates, beta, working-capital ratios and all forecasts are independent modeling estimates.</x:v>
      </x:c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F9:L11"/>
    <x:mergeCell ref="F13:L15"/>
    <x:mergeCell ref="C69:L69"/>
    <x:mergeCell ref="C71:L71"/>
    <x:mergeCell ref="C73:L73"/>
    <x:mergeCell ref="C75:L75"/>
    <x:mergeCell ref="C77:L77"/>
  </x:mergeCells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Microsoft operating forecast and DCF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USD millions, except per-share value. Valuation date: 31 July 2025. Forecast years end 30 June.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Selected case</x:v>
      </x:c>
      <x:c r="D5" s="8" t="str">
        <x:f>'Assumptions'!E5</x:f>
        <x:v>Base</x:v>
      </x:c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12" t="str">
        <x:v>Historical results and forecast</x:v>
      </x:c>
      <x:c r="D7" s="12"/>
      <x:c r="E7" s="13" t="n">
        <x:v>45473</x:v>
      </x:c>
      <x:c r="F7" s="13" t="n">
        <x:v>45838</x:v>
      </x:c>
      <x:c r="G7" s="35"/>
      <x:c r="H7" s="13" t="n">
        <x:v>46203</x:v>
      </x:c>
      <x:c r="I7" s="13" t="n">
        <x:v>46568</x:v>
      </x:c>
      <x:c r="J7" s="13" t="n">
        <x:v>46934</x:v>
      </x:c>
      <x:c r="K7" s="13" t="n">
        <x:v>47299</x:v>
      </x:c>
      <x:c r="L7" s="13" t="n">
        <x:v>47664</x:v>
      </x:c>
    </x:row>
    <x:row r="8" ht="21" customHeight="1">
      <x:c r="A8" s="2"/>
      <x:c r="B8" s="2"/>
      <x:c r="C8" s="81" t="str">
        <x:v>Revenue growth</x:v>
      </x:c>
      <x:c r="D8" s="82"/>
      <x:c r="E8" s="83" t="n">
        <x:f>E9/'Sources'!D8-1</x:f>
        <x:v>0.1566996201307127</x:v>
      </x:c>
      <x:c r="F8" s="83" t="n">
        <x:f>F9/'Sources'!E8-1</x:f>
        <x:v>0.14932156232406713</x:v>
      </x:c>
      <x:c r="G8" s="84"/>
      <x:c r="H8" s="83" t="n">
        <x:f>'Assumptions'!H38</x:f>
        <x:v>0.16</x:v>
      </x:c>
      <x:c r="I8" s="83" t="n">
        <x:f>'Assumptions'!I38</x:f>
        <x:v>0.15</x:v>
      </x:c>
      <x:c r="J8" s="83" t="n">
        <x:f>'Assumptions'!J38</x:f>
        <x:v>0.13</x:v>
      </x:c>
      <x:c r="K8" s="83" t="n">
        <x:f>'Assumptions'!K38</x:f>
        <x:v>0.11</x:v>
      </x:c>
      <x:c r="L8" s="83" t="n">
        <x:f>'Assumptions'!L38</x:f>
        <x:v>0.09</x:v>
      </x:c>
    </x:row>
    <x:row r="9" ht="21" customHeight="1">
      <x:c r="A9" s="2"/>
      <x:c r="B9" s="2"/>
      <x:c r="C9" s="53" t="str">
        <x:v>Revenue</x:v>
      </x:c>
      <x:c r="D9" s="54"/>
      <x:c r="E9" s="55" t="n">
        <x:f>IF(AND(ISNUMBER('Sources'!E8),'Sources'!E8&gt;=0),'Sources'!E8,NA())</x:f>
        <x:v>245122</x:v>
      </x:c>
      <x:c r="F9" s="55" t="n">
        <x:f>IF(AND(ISNUMBER('Sources'!F8),'Sources'!F8&gt;=0),'Sources'!F8,NA())</x:f>
        <x:v>281724</x:v>
      </x:c>
      <x:c r="G9" s="54"/>
      <x:c r="H9" s="56" t="n">
        <x:f>F9*(1+H8)</x:f>
        <x:v>326799.83999999997</x:v>
      </x:c>
      <x:c r="I9" s="56" t="n">
        <x:f>H9*(1+I8)</x:f>
        <x:v>375819.81599999993</x:v>
      </x:c>
      <x:c r="J9" s="56" t="n">
        <x:f>I9*(1+J8)</x:f>
        <x:v>424676.3920799999</x:v>
      </x:c>
      <x:c r="K9" s="56" t="n">
        <x:f>J9*(1+K8)</x:f>
        <x:v>471390.79520879994</x:v>
      </x:c>
      <x:c r="L9" s="56" t="n">
        <x:f>K9*(1+L8)</x:f>
        <x:v>513815.96677759197</x:v>
      </x:c>
    </x:row>
    <x:row r="10" ht="21" customHeight="1">
      <x:c r="A10" s="2"/>
      <x:c r="B10" s="2"/>
      <x:c r="C10" s="81" t="str">
        <x:v>Operating margin</x:v>
      </x:c>
      <x:c r="D10" s="82"/>
      <x:c r="E10" s="85" t="n">
        <x:f>E11/E9</x:f>
        <x:v>0.44644299573273716</x:v>
      </x:c>
      <x:c r="F10" s="85" t="n">
        <x:f>F11/F9</x:f>
        <x:v>0.4562195624085985</x:v>
      </x:c>
      <x:c r="G10" s="84"/>
      <x:c r="H10" s="83" t="n">
        <x:f>'Assumptions'!H43</x:f>
        <x:v>0.455</x:v>
      </x:c>
      <x:c r="I10" s="83" t="n">
        <x:f>'Assumptions'!I43</x:f>
        <x:v>0.46</x:v>
      </x:c>
      <x:c r="J10" s="83" t="n">
        <x:f>'Assumptions'!J43</x:f>
        <x:v>0.465</x:v>
      </x:c>
      <x:c r="K10" s="83" t="n">
        <x:f>'Assumptions'!K43</x:f>
        <x:v>0.47</x:v>
      </x:c>
      <x:c r="L10" s="83" t="n">
        <x:f>'Assumptions'!L43</x:f>
        <x:v>0.475</x:v>
      </x:c>
    </x:row>
    <x:row r="11" ht="21" customHeight="1">
      <x:c r="A11" s="2"/>
      <x:c r="B11" s="2"/>
      <x:c r="C11" s="53" t="str">
        <x:v>Operating income (EBIT)</x:v>
      </x:c>
      <x:c r="D11" s="54"/>
      <x:c r="E11" s="55" t="n">
        <x:f>IF(AND(ISNUMBER('Sources'!E11),'Sources'!E11&gt;=0),'Sources'!E11,NA())</x:f>
        <x:v>109433</x:v>
      </x:c>
      <x:c r="F11" s="55" t="n">
        <x:f>IF(AND(ISNUMBER('Sources'!F11),'Sources'!F11&gt;=0),'Sources'!F11,NA())</x:f>
        <x:v>128528</x:v>
      </x:c>
      <x:c r="G11" s="54"/>
      <x:c r="H11" s="56" t="n">
        <x:f>H9*H10</x:f>
        <x:v>148693.92719999998</x:v>
      </x:c>
      <x:c r="I11" s="56" t="n">
        <x:f>I9*I10</x:f>
        <x:v>172877.11535999997</x:v>
      </x:c>
      <x:c r="J11" s="56" t="n">
        <x:f>J9*J10</x:f>
        <x:v>197474.52231719997</x:v>
      </x:c>
      <x:c r="K11" s="56" t="n">
        <x:f>K9*K10</x:f>
        <x:v>221553.67374813597</x:v>
      </x:c>
      <x:c r="L11" s="56" t="n">
        <x:f>L9*L10</x:f>
        <x:v>244062.58421935618</x:v>
      </x:c>
    </x:row>
    <x:row r="12" ht="21" customHeight="1">
      <x:c r="A12" s="2"/>
      <x:c r="B12" s="2"/>
      <x:c r="C12" s="81" t="str">
        <x:v>Tax rate</x:v>
      </x:c>
      <x:c r="D12" s="82"/>
      <x:c r="E12" s="83" t="n">
        <x:f>'Sources'!E13/'Sources'!E12</x:f>
        <x:v>0.18231326597827197</x:v>
      </x:c>
      <x:c r="F12" s="83" t="n">
        <x:f>'Sources'!F13/'Sources'!F12</x:f>
        <x:v>0.17629644009803683</x:v>
      </x:c>
      <x:c r="G12" s="84"/>
      <x:c r="H12" s="83" t="n">
        <x:f>'Assumptions'!H63</x:f>
        <x:v>0.21</x:v>
      </x:c>
      <x:c r="I12" s="83" t="n">
        <x:f>'Assumptions'!I63</x:f>
        <x:v>0.21</x:v>
      </x:c>
      <x:c r="J12" s="83" t="n">
        <x:f>'Assumptions'!J63</x:f>
        <x:v>0.21</x:v>
      </x:c>
      <x:c r="K12" s="83" t="n">
        <x:f>'Assumptions'!K63</x:f>
        <x:v>0.21</x:v>
      </x:c>
      <x:c r="L12" s="83" t="n">
        <x:f>'Assumptions'!L63</x:f>
        <x:v>0.21</x:v>
      </x:c>
    </x:row>
    <x:row r="13" ht="21" customHeight="1">
      <x:c r="A13" s="2"/>
      <x:c r="B13" s="2"/>
      <x:c r="C13" s="53" t="str">
        <x:v>After-tax operating profit (NOPAT)</x:v>
      </x:c>
      <x:c r="D13" s="54"/>
      <x:c r="E13" s="56" t="n">
        <x:f>E11*(1-E12)</x:f>
        <x:v>89481.91236419976</x:v>
      </x:c>
      <x:c r="F13" s="56" t="n">
        <x:f>F11*(1-F12)</x:f>
        <x:v>105868.97114707953</x:v>
      </x:c>
      <x:c r="G13" s="54"/>
      <x:c r="H13" s="56" t="n">
        <x:f>H11*(1-H12)</x:f>
        <x:v>117468.20248799998</x:v>
      </x:c>
      <x:c r="I13" s="56" t="n">
        <x:f>I11*(1-I12)</x:f>
        <x:v>136572.92113439998</x:v>
      </x:c>
      <x:c r="J13" s="56" t="n">
        <x:f>J11*(1-J12)</x:f>
        <x:v>156004.87263058798</x:v>
      </x:c>
      <x:c r="K13" s="56" t="n">
        <x:f>K11*(1-K12)</x:f>
        <x:v>175027.40226102743</x:v>
      </x:c>
      <x:c r="L13" s="56" t="n">
        <x:f>L11*(1-L12)</x:f>
        <x:v>192809.4415332914</x:v>
      </x:c>
    </x:row>
    <x:row r="14" ht="21" customHeight="1">
      <x:c r="A14" s="2"/>
      <x:c r="B14" s="2"/>
      <x:c r="C14" s="2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21" customHeight="1">
      <x:c r="A15" s="2"/>
      <x:c r="B15" s="2"/>
      <x:c r="C15" s="2" t="str">
        <x:v>Opening net PP&amp;E</x:v>
      </x:c>
      <x:c r="D15" s="16"/>
      <x:c r="E15" s="16"/>
      <x:c r="F15" s="16"/>
      <x:c r="G15" s="16"/>
      <x:c r="H15" s="37" t="n">
        <x:f>F22</x:f>
        <x:v>204966</x:v>
      </x:c>
      <x:c r="I15" s="37" t="n">
        <x:f>H22</x:f>
        <x:v>274972.44899999996</x:v>
      </x:c>
      <x:c r="J15" s="37" t="n">
        <x:f>I22</x:f>
        <x:v>339668.40059999994</x:v>
      </x:c>
      <x:c r="K15" s="37" t="n">
        <x:f>J22</x:f>
        <x:v>392044.5088567499</x:v>
      </x:c>
      <x:c r="L15" s="37" t="n">
        <x:f>K22</x:f>
        <x:v>424049.4214309124</x:v>
      </x:c>
    </x:row>
    <x:row r="16" ht="21" customHeight="1">
      <x:c r="A16" s="2"/>
      <x:c r="B16" s="2"/>
      <x:c r="C16" s="2" t="str">
        <x:v>Cash capex</x:v>
      </x:c>
      <x:c r="D16" s="16"/>
      <x:c r="E16" s="36" t="n">
        <x:f>IF(AND(ISNUMBER('Sources'!E15),'Sources'!E15&gt;=0),'Sources'!E15,NA())</x:f>
        <x:v>44477</x:v>
      </x:c>
      <x:c r="F16" s="36" t="n">
        <x:f>IF(AND(ISNUMBER('Sources'!F15),'Sources'!F15&gt;=0),'Sources'!F15,NA())</x:f>
        <x:v>64551</x:v>
      </x:c>
      <x:c r="G16" s="16"/>
      <x:c r="H16" s="36" t="n">
        <x:f>H9*'Assumptions'!H48</x:f>
        <x:v>84967.95839999999</x:v>
      </x:c>
      <x:c r="I16" s="36" t="n">
        <x:f>I9*'Assumptions'!I48</x:f>
        <x:v>93954.95399999998</x:v>
      </x:c>
      <x:c r="J16" s="36" t="n">
        <x:f>J9*'Assumptions'!J48</x:f>
        <x:v>97675.57017839998</x:v>
      </x:c>
      <x:c r="K16" s="36" t="n">
        <x:f>K9*'Assumptions'!K48</x:f>
        <x:v>94278.15904176</x:v>
      </x:c>
      <x:c r="L16" s="36" t="n">
        <x:f>L9*'Assumptions'!L48</x:f>
        <x:v>92486.87401996655</x:v>
      </x:c>
    </x:row>
    <x:row r="17" ht="21" customHeight="1">
      <x:c r="A17" s="2"/>
      <x:c r="B17" s="2"/>
      <x:c r="C17" s="2" t="str">
        <x:v>New finance-lease assets</x:v>
      </x:c>
      <x:c r="D17" s="16"/>
      <x:c r="E17" s="36" t="n">
        <x:f>IF(AND(ISNUMBER('Sources'!E16),'Sources'!E16&gt;=0),'Sources'!E16,NA())</x:f>
        <x:v>11633</x:v>
      </x:c>
      <x:c r="F17" s="36" t="n">
        <x:f>IF(AND(ISNUMBER('Sources'!F16),'Sources'!F16&gt;=0),'Sources'!F16,NA())</x:f>
        <x:v>20511</x:v>
      </x:c>
      <x:c r="G17" s="16"/>
      <x:c r="H17" s="36" t="n">
        <x:f>H9*'Assumptions'!H53</x:f>
        <x:v>26143.9872</x:v>
      </x:c>
      <x:c r="I17" s="36" t="n">
        <x:f>I9*'Assumptions'!I53</x:f>
        <x:v>26307.38712</x:v>
      </x:c>
      <x:c r="J17" s="36" t="n">
        <x:f>J9*'Assumptions'!J53</x:f>
        <x:v>25480.583524799993</x:v>
      </x:c>
      <x:c r="K17" s="36" t="n">
        <x:f>K9*'Assumptions'!K53</x:f>
        <x:v>23569.53976044</x:v>
      </x:c>
      <x:c r="L17" s="36" t="n">
        <x:f>L9*'Assumptions'!L53</x:f>
        <x:v>20552.63867110368</x:v>
      </x:c>
    </x:row>
    <x:row r="18" ht="21" customHeight="1">
      <x:c r="A18" s="2"/>
      <x:c r="B18" s="2"/>
      <x:c r="C18" s="53" t="str">
        <x:v>Asset investment: cash + leases</x:v>
      </x:c>
      <x:c r="D18" s="54"/>
      <x:c r="E18" s="56" t="n">
        <x:f>SUM(E16:E17)</x:f>
        <x:v>56110</x:v>
      </x:c>
      <x:c r="F18" s="56" t="n">
        <x:f>SUM(F16:F17)</x:f>
        <x:v>85062</x:v>
      </x:c>
      <x:c r="G18" s="54"/>
      <x:c r="H18" s="56" t="n">
        <x:f>SUM(H16:H17)</x:f>
        <x:v>111111.94559999999</x:v>
      </x:c>
      <x:c r="I18" s="56" t="n">
        <x:f>SUM(I16:I17)</x:f>
        <x:v>120262.34111999998</x:v>
      </x:c>
      <x:c r="J18" s="56" t="n">
        <x:f>SUM(J16:J17)</x:f>
        <x:v>123156.15370319998</x:v>
      </x:c>
      <x:c r="K18" s="56" t="n">
        <x:f>SUM(K16:K17)</x:f>
        <x:v>117847.6988022</x:v>
      </x:c>
      <x:c r="L18" s="56" t="n">
        <x:f>SUM(L16:L17)</x:f>
        <x:v>113039.51269107022</x:v>
      </x:c>
    </x:row>
    <x:row r="19" ht="21" customHeight="1">
      <x:c r="A19" s="2"/>
      <x:c r="B19" s="2"/>
      <x:c r="C19" s="2" t="str">
        <x:v>Depreciation: opening asset base</x:v>
      </x:c>
      <x:c r="D19" s="16"/>
      <x:c r="E19" s="16"/>
      <x:c r="F19" s="16"/>
      <x:c r="G19" s="16"/>
      <x:c r="H19" s="36" t="n">
        <x:f>IF(AND(ISNUMBER('Assumptions'!$D$14),'Assumptions'!$D$14&gt;0),MIN($F$22,MAX(0,$F$22*(1-0/'Assumptions'!$D$14)),$F$22/'Assumptions'!$D$14),NA())</x:f>
        <x:v>34161</x:v>
      </x:c>
      <x:c r="I19" s="36" t="n">
        <x:f>IF(AND(ISNUMBER('Assumptions'!$D$14),'Assumptions'!$D$14&gt;0),MIN($F$22,MAX(0,$F$22*(1-1/'Assumptions'!$D$14)),$F$22/'Assumptions'!$D$14),NA())</x:f>
        <x:v>34161</x:v>
      </x:c>
      <x:c r="J19" s="36" t="n">
        <x:f>IF(AND(ISNUMBER('Assumptions'!$D$14),'Assumptions'!$D$14&gt;0),MIN($F$22,MAX(0,$F$22*(1-2/'Assumptions'!$D$14)),$F$22/'Assumptions'!$D$14),NA())</x:f>
        <x:v>34161</x:v>
      </x:c>
      <x:c r="K19" s="36" t="n">
        <x:f>IF(AND(ISNUMBER('Assumptions'!$D$14),'Assumptions'!$D$14&gt;0),MIN($F$22,MAX(0,$F$22*(1-3/'Assumptions'!$D$14)),$F$22/'Assumptions'!$D$14),NA())</x:f>
        <x:v>34161</x:v>
      </x:c>
      <x:c r="L19" s="36" t="n">
        <x:f>IF(AND(ISNUMBER('Assumptions'!$D$14),'Assumptions'!$D$14&gt;0),MIN($F$22,MAX(0,$F$22*(1-4/'Assumptions'!$D$14)),$F$22/'Assumptions'!$D$14),NA())</x:f>
        <x:v>34161</x:v>
      </x:c>
    </x:row>
    <x:row r="20" ht="21" customHeight="1">
      <x:c r="A20" s="2"/>
      <x:c r="B20" s="2"/>
      <x:c r="C20" s="2" t="str">
        <x:v>Depreciation: new asset vintages</x:v>
      </x:c>
      <x:c r="D20" s="16"/>
      <x:c r="E20" s="16"/>
      <x:c r="F20" s="16"/>
      <x:c r="G20" s="16"/>
      <x:c r="H20" s="36" t="n">
        <x:f>IF(AND(ISNUMBER('Assumptions'!$D$15),'Assumptions'!$D$15&gt;=5),(H18/2)/'Assumptions'!$D$15,NA())</x:f>
        <x:v>6944.4965999999995</x:v>
      </x:c>
      <x:c r="I20" s="36" t="n">
        <x:f>IF(AND(ISNUMBER('Assumptions'!$D$15),'Assumptions'!$D$15&gt;=5),(SUM($H18:H18)+I18/2)/'Assumptions'!$D$15,NA())</x:f>
        <x:v>21405.389519999997</x:v>
      </x:c>
      <x:c r="J20" s="36" t="n">
        <x:f>IF(AND(ISNUMBER('Assumptions'!$D$15),'Assumptions'!$D$15&gt;=5),(SUM($H18:I18)+J18/2)/'Assumptions'!$D$15,NA())</x:f>
        <x:v>36619.04544644999</x:v>
      </x:c>
      <x:c r="K20" s="36" t="n">
        <x:f>IF(AND(ISNUMBER('Assumptions'!$D$15),'Assumptions'!$D$15&gt;=5),(SUM($H18:J18)+K18/2)/'Assumptions'!$D$15,NA())</x:f>
        <x:v>51681.7862280375</x:v>
      </x:c>
      <x:c r="L20" s="36" t="n">
        <x:f>IF(AND(ISNUMBER('Assumptions'!$D$15),'Assumptions'!$D$15&gt;=5),(SUM($H18:K18)+L18/2)/'Assumptions'!$D$15,NA())</x:f>
        <x:v>66112.23694636689</x:v>
      </x:c>
    </x:row>
    <x:row r="21" ht="21" customHeight="1">
      <x:c r="A21" s="2"/>
      <x:c r="B21" s="2"/>
      <x:c r="C21" s="2" t="str">
        <x:v>Total PP&amp;E depreciation</x:v>
      </x:c>
      <x:c r="D21" s="16"/>
      <x:c r="E21" s="16"/>
      <x:c r="F21" s="16"/>
      <x:c r="G21" s="16"/>
      <x:c r="H21" s="37" t="n">
        <x:f>SUM(H19:H20)</x:f>
        <x:v>41105.4966</x:v>
      </x:c>
      <x:c r="I21" s="37" t="n">
        <x:f>SUM(I19:I20)</x:f>
        <x:v>55566.38952</x:v>
      </x:c>
      <x:c r="J21" s="37" t="n">
        <x:f>SUM(J19:J20)</x:f>
        <x:v>70780.04544644999</x:v>
      </x:c>
      <x:c r="K21" s="37" t="n">
        <x:f>SUM(K19:K20)</x:f>
        <x:v>85842.7862280375</x:v>
      </x:c>
      <x:c r="L21" s="37" t="n">
        <x:f>SUM(L19:L20)</x:f>
        <x:v>100273.23694636689</x:v>
      </x:c>
    </x:row>
    <x:row r="22" ht="21" customHeight="1">
      <x:c r="A22" s="2"/>
      <x:c r="B22" s="2"/>
      <x:c r="C22" s="53" t="str">
        <x:v>Closing net PP&amp;E</x:v>
      </x:c>
      <x:c r="D22" s="54"/>
      <x:c r="E22" s="55" t="n">
        <x:f>IF(AND(ISNUMBER('Sources'!E43),'Sources'!E43&gt;=0),'Sources'!E43,NA())</x:f>
        <x:v>135591</x:v>
      </x:c>
      <x:c r="F22" s="55" t="n">
        <x:f>IF(AND(ISNUMBER('Sources'!F43),'Sources'!F43&gt;=0),'Sources'!F43,NA())</x:f>
        <x:v>204966</x:v>
      </x:c>
      <x:c r="G22" s="54"/>
      <x:c r="H22" s="56" t="n">
        <x:f>H15+H18-H21</x:f>
        <x:v>274972.44899999996</x:v>
      </x:c>
      <x:c r="I22" s="56" t="n">
        <x:f>I15+I18-I21</x:f>
        <x:v>339668.40059999994</x:v>
      </x:c>
      <x:c r="J22" s="56" t="n">
        <x:f>J15+J18-J21</x:f>
        <x:v>392044.5088567499</x:v>
      </x:c>
      <x:c r="K22" s="56" t="n">
        <x:f>K15+K18-K21</x:f>
        <x:v>424049.4214309124</x:v>
      </x:c>
      <x:c r="L22" s="56" t="n">
        <x:f>L15+L18-L21</x:f>
        <x:v>436815.69717561576</x:v>
      </x:c>
    </x:row>
    <x:row r="23" ht="21" customHeight="1">
      <x:c r="A23" s="2"/>
      <x:c r="B23" s="2"/>
      <x:c r="C23" s="2" t="str">
        <x:v>Existing intangible amortization</x:v>
      </x:c>
      <x:c r="D23" s="16"/>
      <x:c r="E23" s="16"/>
      <x:c r="F23" s="16"/>
      <x:c r="G23" s="16"/>
      <x:c r="H23" s="36" t="n">
        <x:f>IF(AND(ISNUMBER('Sources'!H49),'Sources'!H49&gt;=0),'Sources'!H49,NA())</x:f>
        <x:v>4594</x:v>
      </x:c>
      <x:c r="I23" s="36" t="n">
        <x:f>IF(AND(ISNUMBER('Sources'!I49),'Sources'!I49&gt;=0),'Sources'!I49,NA())</x:f>
        <x:v>2901</x:v>
      </x:c>
      <x:c r="J23" s="36" t="n">
        <x:f>IF(AND(ISNUMBER('Sources'!J49),'Sources'!J49&gt;=0),'Sources'!J49,NA())</x:f>
        <x:v>2034</x:v>
      </x:c>
      <x:c r="K23" s="36" t="n">
        <x:f>IF(AND(ISNUMBER('Sources'!K49),'Sources'!K49&gt;=0),'Sources'!K49,NA())</x:f>
        <x:v>1851</x:v>
      </x:c>
      <x:c r="L23" s="36" t="n">
        <x:f>IF(AND(ISNUMBER('Sources'!L49),'Sources'!L49&gt;=0),'Sources'!L49,NA())</x:f>
        <x:v>1382</x:v>
      </x:c>
    </x:row>
    <x:row r="24" ht="21" customHeight="1">
      <x:c r="A24" s="2"/>
      <x:c r="B24" s="2"/>
      <x:c r="C24" s="53" t="str">
        <x:v>Total depreciation and amortization</x:v>
      </x:c>
      <x:c r="D24" s="54"/>
      <x:c r="E24" s="54"/>
      <x:c r="F24" s="54"/>
      <x:c r="G24" s="54"/>
      <x:c r="H24" s="56" t="n">
        <x:f>SUM(H21,H23)</x:f>
        <x:v>45699.4966</x:v>
      </x:c>
      <x:c r="I24" s="56" t="n">
        <x:f>SUM(I21,I23)</x:f>
        <x:v>58467.38952</x:v>
      </x:c>
      <x:c r="J24" s="56" t="n">
        <x:f>SUM(J21,J23)</x:f>
        <x:v>72814.04544644999</x:v>
      </x:c>
      <x:c r="K24" s="56" t="n">
        <x:f>SUM(K21,K23)</x:f>
        <x:v>87693.7862280375</x:v>
      </x:c>
      <x:c r="L24" s="56" t="n">
        <x:f>SUM(L21,L23)</x:f>
        <x:v>101655.23694636689</x:v>
      </x:c>
    </x:row>
    <x:row r="25" ht="21" customHeight="1">
      <x:c r="A25" s="2"/>
      <x:c r="B25" s="2"/>
      <x:c r="C25" s="2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 ht="21" customHeight="1">
      <x:c r="A26" s="2"/>
      <x:c r="B26" s="2"/>
      <x:c r="C26" s="2" t="str">
        <x:v>Operating current assets</x:v>
      </x:c>
      <x:c r="D26" s="16"/>
      <x:c r="E26" s="36" t="n">
        <x:f>IF(AND(ISNUMBER('Sources'!E34),'Sources'!E34&gt;=0),'Sources'!E34,NA())+IF(AND(ISNUMBER('Sources'!E35),'Sources'!E35&gt;=0),'Sources'!E35,NA())+IF(AND(ISNUMBER('Sources'!E36),'Sources'!E36&gt;=0),'Sources'!E36,NA())</x:f>
        <x:v>84191</x:v>
      </x:c>
      <x:c r="F26" s="36" t="n">
        <x:f>IF(AND(ISNUMBER('Sources'!F34),'Sources'!F34&gt;=0),'Sources'!F34,NA())+IF(AND(ISNUMBER('Sources'!F35),'Sources'!F35&gt;=0),'Sources'!F35,NA())+IF(AND(ISNUMBER('Sources'!F36),'Sources'!F36&gt;=0),'Sources'!F36,NA())</x:f>
        <x:v>96566</x:v>
      </x:c>
      <x:c r="G26" s="16"/>
      <x:c r="H26" s="16"/>
      <x:c r="I26" s="16"/>
      <x:c r="J26" s="16"/>
      <x:c r="K26" s="16"/>
      <x:c r="L26" s="16"/>
    </x:row>
    <x:row r="27" ht="21" customHeight="1">
      <x:c r="A27" s="2"/>
      <x:c r="B27" s="2"/>
      <x:c r="C27" s="2" t="str">
        <x:v>Operating current liabilities</x:v>
      </x:c>
      <x:c r="D27" s="16"/>
      <x:c r="E27" s="36" t="n">
        <x:f>IF(AND(ISNUMBER('Sources'!E37),'Sources'!E37&gt;=0),'Sources'!E37,NA())-IF(AND(ISNUMBER('Sources'!E38),'Sources'!E38&gt;=0),'Sources'!E38,NA())+IF(AND(ISNUMBER('Sources'!E39),'Sources'!E39&gt;=0),'Sources'!E39,NA())+IF(AND(ISNUMBER('Sources'!E40),'Sources'!E40&gt;=0),'Sources'!E40,NA())+IF(AND(ISNUMBER('Sources'!E41),'Sources'!E41&gt;=0),'Sources'!E41,NA())-IF(AND(ISNUMBER('Sources'!E42),'Sources'!E42&gt;=0),'Sources'!E42,NA())-IF(AND(ISNUMBER('Sources'!E29),'Sources'!E29&gt;=0),'Sources'!E29,NA())</x:f>
        <x:v>101098</x:v>
      </x:c>
      <x:c r="F27" s="36" t="n">
        <x:f>IF(AND(ISNUMBER('Sources'!F37),'Sources'!F37&gt;=0),'Sources'!F37,NA())-IF(AND(ISNUMBER('Sources'!F38),'Sources'!F38&gt;=0),'Sources'!F38,NA())+IF(AND(ISNUMBER('Sources'!F39),'Sources'!F39&gt;=0),'Sources'!F39,NA())+IF(AND(ISNUMBER('Sources'!F40),'Sources'!F40&gt;=0),'Sources'!F40,NA())+IF(AND(ISNUMBER('Sources'!F41),'Sources'!F41&gt;=0),'Sources'!F41,NA())-IF(AND(ISNUMBER('Sources'!F42),'Sources'!F42&gt;=0),'Sources'!F42,NA())-IF(AND(ISNUMBER('Sources'!F29),'Sources'!F29&gt;=0),'Sources'!F29,NA())</x:f>
        <x:v>115512</x:v>
      </x:c>
      <x:c r="G27" s="16"/>
      <x:c r="H27" s="16"/>
      <x:c r="I27" s="16"/>
      <x:c r="J27" s="16"/>
      <x:c r="K27" s="16"/>
      <x:c r="L27" s="16"/>
    </x:row>
    <x:row r="28" ht="21" customHeight="1">
      <x:c r="A28" s="2"/>
      <x:c r="B28" s="2"/>
      <x:c r="C28" s="53" t="str">
        <x:v>Operating working capital</x:v>
      </x:c>
      <x:c r="D28" s="54"/>
      <x:c r="E28" s="56" t="n">
        <x:f>E26-E27</x:f>
        <x:v>-16907</x:v>
      </x:c>
      <x:c r="F28" s="56" t="n">
        <x:f>F26-F27</x:f>
        <x:v>-18946</x:v>
      </x:c>
      <x:c r="G28" s="54"/>
      <x:c r="H28" s="56" t="n">
        <x:f>H9*H29</x:f>
        <x:v>-21895.58928</x:v>
      </x:c>
      <x:c r="I28" s="56" t="n">
        <x:f>I9*I29</x:f>
        <x:v>-25179.927671999998</x:v>
      </x:c>
      <x:c r="J28" s="56" t="n">
        <x:f>J9*J29</x:f>
        <x:v>-28453.318269359996</x:v>
      </x:c>
      <x:c r="K28" s="56" t="n">
        <x:f>K9*K29</x:f>
        <x:v>-31583.1832789896</x:v>
      </x:c>
      <x:c r="L28" s="56" t="n">
        <x:f>L9*L29</x:f>
        <x:v>-34425.669774098664</x:v>
      </x:c>
    </x:row>
    <x:row r="29" ht="21" customHeight="1">
      <x:c r="A29" s="2"/>
      <x:c r="B29" s="2"/>
      <x:c r="C29" s="81" t="str">
        <x:v>Operating working capital / revenue</x:v>
      </x:c>
      <x:c r="D29" s="82"/>
      <x:c r="E29" s="85" t="n">
        <x:f>E28/E9</x:f>
        <x:v>-0.06897381711963839</x:v>
      </x:c>
      <x:c r="F29" s="85" t="n">
        <x:f>F28/F9</x:f>
        <x:v>-0.06725021652397382</x:v>
      </x:c>
      <x:c r="G29" s="84"/>
      <x:c r="H29" s="83" t="n">
        <x:f>'Assumptions'!H58</x:f>
        <x:v>-0.067</x:v>
      </x:c>
      <x:c r="I29" s="83" t="n">
        <x:f>'Assumptions'!I58</x:f>
        <x:v>-0.067</x:v>
      </x:c>
      <x:c r="J29" s="83" t="n">
        <x:f>'Assumptions'!J58</x:f>
        <x:v>-0.067</x:v>
      </x:c>
      <x:c r="K29" s="83" t="n">
        <x:f>'Assumptions'!K58</x:f>
        <x:v>-0.067</x:v>
      </x:c>
      <x:c r="L29" s="83" t="n">
        <x:f>'Assumptions'!L58</x:f>
        <x:v>-0.067</x:v>
      </x:c>
    </x:row>
    <x:row r="30" ht="21" customHeight="1">
      <x:c r="A30" s="2"/>
      <x:c r="B30" s="2"/>
      <x:c r="C30" s="2" t="str">
        <x:v>Increase / (release) in working capital</x:v>
      </x:c>
      <x:c r="D30" s="16"/>
      <x:c r="E30" s="16"/>
      <x:c r="F30" s="37" t="n">
        <x:f>F28-E28</x:f>
        <x:v>-2039</x:v>
      </x:c>
      <x:c r="G30" s="16"/>
      <x:c r="H30" s="37" t="n">
        <x:f>H28-F28</x:f>
        <x:v>-2949.58928</x:v>
      </x:c>
      <x:c r="I30" s="37" t="n">
        <x:f>I28-H28</x:f>
        <x:v>-3284.338391999998</x:v>
      </x:c>
      <x:c r="J30" s="37" t="n">
        <x:f>J28-I28</x:f>
        <x:v>-3273.3905973599976</x:v>
      </x:c>
      <x:c r="K30" s="37" t="n">
        <x:f>K28-J28</x:f>
        <x:v>-3129.865009629604</x:v>
      </x:c>
      <x:c r="L30" s="37" t="n">
        <x:f>L28-K28</x:f>
        <x:v>-2842.486495109064</x:v>
      </x:c>
    </x:row>
    <x:row r="31" ht="21" customHeight="1">
      <x:c r="A31" s="2"/>
      <x:c r="B31" s="2"/>
      <x:c r="C31" s="2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21" customHeight="1">
      <x:c r="A32" s="2"/>
      <x:c r="B32" s="2"/>
      <x:c r="C32" s="53" t="str">
        <x:v>Unlevered free cash flow</x:v>
      </x:c>
      <x:c r="D32" s="54"/>
      <x:c r="E32" s="54"/>
      <x:c r="F32" s="54"/>
      <x:c r="G32" s="54"/>
      <x:c r="H32" s="56" t="n">
        <x:f>H13+H24-H18-H30</x:f>
        <x:v>55005.342768</x:v>
      </x:c>
      <x:c r="I32" s="56" t="n">
        <x:f>I13+I24-I18-I30</x:f>
        <x:v>78062.30792639998</x:v>
      </x:c>
      <x:c r="J32" s="56" t="n">
        <x:f>J13+J24-J18-J30</x:f>
        <x:v>108936.15497119798</x:v>
      </x:c>
      <x:c r="K32" s="56" t="n">
        <x:f>K13+K24-K18-K30</x:f>
        <x:v>148003.35469649453</x:v>
      </x:c>
      <x:c r="L32" s="56" t="n">
        <x:f>L13+L24-L18-L30</x:f>
        <x:v>184267.65228369713</x:v>
      </x:c>
    </x:row>
    <x:row r="33" ht="21" customHeight="1">
      <x:c r="A33" s="2"/>
      <x:c r="B33" s="2"/>
      <x:c r="C33" s="81" t="str">
        <x:v>Free cash flow / revenue</x:v>
      </x:c>
      <x:c r="D33" s="82"/>
      <x:c r="E33" s="84"/>
      <x:c r="F33" s="84"/>
      <x:c r="G33" s="84"/>
      <x:c r="H33" s="85" t="n">
        <x:f>H32/H9</x:f>
        <x:v>0.16831508475646748</x:v>
      </x:c>
      <x:c r="I33" s="85" t="n">
        <x:f>I32/I9</x:f>
        <x:v>0.20771205935133552</x:v>
      </x:c>
      <x:c r="J33" s="85" t="n">
        <x:f>J32/J9</x:f>
        <x:v>0.2565156834775896</x:v>
      </x:c>
      <x:c r="K33" s="85" t="n">
        <x:f>K32/K9</x:f>
        <x:v>0.3139716689438903</x:v>
      </x:c>
      <x:c r="L33" s="85" t="n">
        <x:f>L32/L9</x:f>
        <x:v>0.35862578082058394</x:v>
      </x:c>
    </x:row>
    <x:row r="34" ht="21" customHeight="1">
      <x:c r="A34" s="2"/>
      <x:c r="B34" s="2"/>
      <x:c r="C34" s="81" t="str">
        <x:v>Remaining annual cash-flow fraction</x:v>
      </x:c>
      <x:c r="D34" s="82"/>
      <x:c r="E34" s="82"/>
      <x:c r="F34" s="82"/>
      <x:c r="G34" s="82"/>
      <x:c r="H34" s="85" t="n">
        <x:f>H35*365/(H$7-F$7)</x:f>
        <x:v>0.915068493150685</x:v>
      </x:c>
      <x:c r="I34" s="85" t="n">
        <x:f>1</x:f>
        <x:v>1</x:v>
      </x:c>
      <x:c r="J34" s="85" t="n">
        <x:f>1</x:f>
        <x:v>1</x:v>
      </x:c>
      <x:c r="K34" s="85" t="n">
        <x:f>1</x:f>
        <x:v>1</x:v>
      </x:c>
      <x:c r="L34" s="85" t="n">
        <x:f>1</x:f>
        <x:v>1</x:v>
      </x:c>
    </x:row>
    <x:row r="35" ht="21" customHeight="1">
      <x:c r="A35" s="2"/>
      <x:c r="B35" s="2"/>
      <x:c r="C35" s="2" t="str">
        <x:v>Years from valuation date</x:v>
      </x:c>
      <x:c r="D35" s="16"/>
      <x:c r="E35" s="16"/>
      <x:c r="F35" s="16"/>
      <x:c r="G35" s="16"/>
      <x:c r="H35" s="45" t="n">
        <x:f>IF(AND(ISNUMBER('Sources'!$F$56),'Sources'!$F$56&gt;=$F$7,'Sources'!$F$56&lt;$H$7),(H$7-'Sources'!$F$56)/365,NA())</x:f>
        <x:v>0.915068493150685</x:v>
      </x:c>
      <x:c r="I35" s="45" t="n">
        <x:f>IF(AND(ISNUMBER('Sources'!$F$56),'Sources'!$F$56&gt;=$F$7,'Sources'!$F$56&lt;$H$7),(I$7-'Sources'!$F$56)/365,NA())</x:f>
        <x:v>1.915068493150685</x:v>
      </x:c>
      <x:c r="J35" s="45" t="n">
        <x:f>IF(AND(ISNUMBER('Sources'!$F$56),'Sources'!$F$56&gt;=$F$7,'Sources'!$F$56&lt;$H$7),(J$7-'Sources'!$F$56)/365,NA())</x:f>
        <x:v>2.9178082191780823</x:v>
      </x:c>
      <x:c r="K35" s="45" t="n">
        <x:f>IF(AND(ISNUMBER('Sources'!$F$56),'Sources'!$F$56&gt;=$F$7,'Sources'!$F$56&lt;$H$7),(K$7-'Sources'!$F$56)/365,NA())</x:f>
        <x:v>3.9178082191780823</x:v>
      </x:c>
      <x:c r="L35" s="45" t="n">
        <x:f>IF(AND(ISNUMBER('Sources'!$F$56),'Sources'!$F$56&gt;=$F$7,'Sources'!$F$56&lt;$H$7),(L$7-'Sources'!$F$56)/365,NA())</x:f>
        <x:v>4.917808219178082</x:v>
      </x:c>
    </x:row>
    <x:row r="36" ht="21" customHeight="1">
      <x:c r="A36" s="2"/>
      <x:c r="B36" s="2"/>
      <x:c r="C36" s="81" t="str">
        <x:v>Discount rate</x:v>
      </x:c>
      <x:c r="D36" s="82"/>
      <x:c r="E36" s="84"/>
      <x:c r="F36" s="84"/>
      <x:c r="G36" s="84"/>
      <x:c r="H36" s="85" t="n">
        <x:f>$D$49</x:f>
        <x:v>0.08904518324134812</x:v>
      </x:c>
      <x:c r="I36" s="85" t="n">
        <x:f>$D$49</x:f>
        <x:v>0.08904518324134812</x:v>
      </x:c>
      <x:c r="J36" s="85" t="n">
        <x:f>$D$49</x:f>
        <x:v>0.08904518324134812</x:v>
      </x:c>
      <x:c r="K36" s="85" t="n">
        <x:f>$D$49</x:f>
        <x:v>0.08904518324134812</x:v>
      </x:c>
      <x:c r="L36" s="85" t="n">
        <x:f>$D$49</x:f>
        <x:v>0.08904518324134812</x:v>
      </x:c>
    </x:row>
    <x:row r="37" ht="21" customHeight="1">
      <x:c r="A37" s="2"/>
      <x:c r="B37" s="2"/>
      <x:c r="C37" s="2" t="str">
        <x:v>Present-value factor</x:v>
      </x:c>
      <x:c r="D37" s="16"/>
      <x:c r="E37" s="16"/>
      <x:c r="F37" s="16"/>
      <x:c r="G37" s="16"/>
      <x:c r="H37" s="46" t="n">
        <x:f>1/(1+H36)^H35</x:f>
        <x:v>0.9249121093851453</x:v>
      </x:c>
      <x:c r="I37" s="46" t="n">
        <x:f>1/(1+I36)^I35</x:f>
        <x:v>0.8492871770777313</x:v>
      </x:c>
      <x:c r="J37" s="46" t="n">
        <x:f>1/(1+J36)^J35</x:f>
        <x:v>0.7796634455407461</x:v>
      </x:c>
      <x:c r="K37" s="46" t="n">
        <x:f>1/(1+K36)^K35</x:f>
        <x:v>0.7159146907203771</x:v>
      </x:c>
      <x:c r="L37" s="46" t="n">
        <x:f>1/(1+L36)^L35</x:f>
        <x:v>0.6573783179404781</x:v>
      </x:c>
    </x:row>
    <x:row r="38" ht="21" customHeight="1">
      <x:c r="A38" s="2"/>
      <x:c r="B38" s="2"/>
      <x:c r="C38" s="53" t="str">
        <x:v>Present value of free cash flow</x:v>
      </x:c>
      <x:c r="D38" s="54"/>
      <x:c r="E38" s="54"/>
      <x:c r="F38" s="54"/>
      <x:c r="G38" s="54"/>
      <x:c r="H38" s="56" t="n">
        <x:f>H32*H34*H37</x:f>
        <x:v>46554.208056819945</x:v>
      </x:c>
      <x:c r="I38" s="56" t="n">
        <x:f>I32*I34*I37</x:f>
        <x:v>66297.31713498484</x:v>
      </x:c>
      <x:c r="J38" s="56" t="n">
        <x:f>J32*J34*J37</x:f>
        <x:v>84933.53792880489</x:v>
      </x:c>
      <x:c r="K38" s="56" t="n">
        <x:f>K32*K34*K37</x:f>
        <x:v>105957.77590311914</x:v>
      </x:c>
      <x:c r="L38" s="56" t="n">
        <x:f>L32*L34*L37</x:f>
        <x:v>121133.5593090977</x:v>
      </x:c>
    </x:row>
    <x:row r="39" ht="21" customHeight="1">
      <x:c r="A39" s="2"/>
      <x:c r="B39" s="2"/>
      <x:c r="C39" s="2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21" customHeight="1">
      <x:c r="A40" s="2"/>
      <x:c r="B40" s="2"/>
      <x:c r="C40" s="2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21" customHeight="1">
      <x:c r="A41" s="2"/>
      <x:c r="B41" s="2"/>
      <x:c r="C41" s="2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25" customHeight="1">
      <x:c r="A42" s="2"/>
      <x:c r="B42" s="2"/>
      <x:c r="C42" s="12" t="str">
        <x:v>Cost of capital and equity valuation</x:v>
      </x:c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 ht="21" customHeight="1">
      <x:c r="A43" s="2"/>
      <x:c r="B43" s="2"/>
      <x:c r="C43" s="2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 ht="21" customHeight="1">
      <x:c r="A44" s="2"/>
      <x:c r="B44" s="2"/>
      <x:c r="C44" s="2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 ht="21" customHeight="1">
      <x:c r="A45" s="2"/>
      <x:c r="B45" s="2"/>
      <x:c r="C45" s="2" t="str">
        <x:v>Cost of equity</x:v>
      </x:c>
      <x:c r="D45" s="40" t="n">
        <x:f>IF(AND(ISNUMBER('Assumptions'!D9),'Assumptions'!D9&gt;=0),'Assumptions'!D9,NA())+IF(AND(ISNUMBER('Assumptions'!D10),'Assumptions'!D10&gt;=0),'Assumptions'!D10,NA())*IF(AND(ISNUMBER('Assumptions'!D11),'Assumptions'!D11&gt;=0),'Assumptions'!D11,NA())</x:f>
        <x:v>0.09025</x:v>
      </x:c>
      <x:c r="E45" s="16"/>
      <x:c r="F45" s="61" t="str">
        <x:v>Terminal value uses sustainable reinvestment.</x:v>
      </x:c>
      <x:c r="G45" s="61"/>
      <x:c r="H45" s="61"/>
      <x:c r="I45" s="61"/>
      <x:c r="J45" s="61"/>
      <x:c r="K45" s="61"/>
      <x:c r="L45" s="61"/>
    </x:row>
    <x:row r="46" ht="21" customHeight="1">
      <x:c r="A46" s="2"/>
      <x:c r="B46" s="2"/>
      <x:c r="C46" s="2" t="str">
        <x:v>Debt and finance leases / capital</x:v>
      </x:c>
      <x:c r="D46" s="42" t="n">
        <x:f>D63/(D63+D65*D67)</x:f>
        <x:v>0.02202590052380034</x:v>
      </x:c>
      <x:c r="E46" s="16"/>
      <x:c r="F46" s="61"/>
      <x:c r="G46" s="61"/>
      <x:c r="H46" s="61"/>
      <x:c r="I46" s="61"/>
      <x:c r="J46" s="61"/>
      <x:c r="K46" s="61"/>
      <x:c r="L46" s="61"/>
    </x:row>
    <x:row r="47" ht="21" customHeight="1">
      <x:c r="A47" s="2"/>
      <x:c r="B47" s="2"/>
      <x:c r="C47" s="2" t="str">
        <x:v>After-tax cost of debt</x:v>
      </x:c>
      <x:c r="D47" s="40" t="n">
        <x:f>IF(AND(ISNUMBER('Assumptions'!D12),'Assumptions'!D12&gt;=0),'Assumptions'!D12,NA())*(1-IF(AND(ISNUMBER('Assumptions'!D13),'Assumptions'!D13&gt;=0),'Assumptions'!D13,NA()))</x:f>
        <x:v>0.03555</x:v>
      </x:c>
      <x:c r="E47" s="16"/>
      <x:c r="F47" s="16"/>
      <x:c r="G47" s="16"/>
      <x:c r="H47" s="16"/>
      <x:c r="I47" s="16"/>
      <x:c r="J47" s="16"/>
      <x:c r="K47" s="16"/>
      <x:c r="L47" s="16"/>
    </x:row>
    <x:row r="48" ht="21" customHeight="1">
      <x:c r="A48" s="2"/>
      <x:c r="B48" s="2"/>
      <x:c r="C48" s="2" t="str">
        <x:v>Case risk adjustment</x:v>
      </x:c>
      <x:c r="D48" s="40" t="n">
        <x:f>'Assumptions'!D31</x:f>
        <x:v>0</x:v>
      </x:c>
      <x:c r="E48" s="16"/>
      <x:c r="F48" s="61" t="str">
        <x:v>Operating leases remain in operating expenses. Finance leases are treated as financed asset purchases.</x:v>
      </x:c>
      <x:c r="G48" s="61"/>
      <x:c r="H48" s="61"/>
      <x:c r="I48" s="61"/>
      <x:c r="J48" s="61"/>
      <x:c r="K48" s="61"/>
      <x:c r="L48" s="61"/>
    </x:row>
    <x:row r="49" ht="21" customHeight="1">
      <x:c r="A49" s="2"/>
      <x:c r="B49" s="2"/>
      <x:c r="C49" s="53" t="str">
        <x:v>Weighted average cost of capital</x:v>
      </x:c>
      <x:c r="D49" s="57" t="n">
        <x:f>IF(AND(D47&gt;=0,(1-D46)*D45+D46*D47+D48&gt;0),(1-D46)*D45+D46*D47+D48,NA())</x:f>
        <x:v>0.08904518324134812</x:v>
      </x:c>
      <x:c r="E49" s="16"/>
      <x:c r="F49" s="61"/>
      <x:c r="G49" s="61"/>
      <x:c r="H49" s="61"/>
      <x:c r="I49" s="61"/>
      <x:c r="J49" s="61"/>
      <x:c r="K49" s="61"/>
      <x:c r="L49" s="61"/>
    </x:row>
    <x:row r="50" ht="21" customHeight="1">
      <x:c r="A50" s="2"/>
      <x:c r="B50" s="2"/>
      <x:c r="C50" s="2"/>
      <x:c r="D50" s="16"/>
      <x:c r="E50" s="16"/>
      <x:c r="F50" s="61"/>
      <x:c r="G50" s="61"/>
      <x:c r="H50" s="61"/>
      <x:c r="I50" s="61"/>
      <x:c r="J50" s="61"/>
      <x:c r="K50" s="61"/>
      <x:c r="L50" s="61"/>
    </x:row>
    <x:row r="51" ht="21" customHeight="1">
      <x:c r="A51" s="2"/>
      <x:c r="B51" s="2"/>
      <x:c r="C51" s="2" t="str">
        <x:v>Terminal growth</x:v>
      </x:c>
      <x:c r="D51" s="40" t="n">
        <x:f>'Assumptions'!D21</x:f>
        <x:v>0.03</x:v>
      </x:c>
      <x:c r="E51" s="16"/>
      <x:c r="F51" s="16"/>
      <x:c r="G51" s="16"/>
      <x:c r="H51" s="16"/>
      <x:c r="I51" s="16"/>
      <x:c r="J51" s="16"/>
      <x:c r="K51" s="16"/>
      <x:c r="L51" s="16"/>
    </x:row>
    <x:row r="52" ht="21" customHeight="1">
      <x:c r="A52" s="2"/>
      <x:c r="B52" s="2"/>
      <x:c r="C52" s="2" t="str">
        <x:v>Terminal return on invested capital</x:v>
      </x:c>
      <x:c r="D52" s="40" t="n">
        <x:f>'Assumptions'!D26</x:f>
        <x:v>0.2</x:v>
      </x:c>
      <x:c r="E52" s="16"/>
      <x:c r="F52" s="16"/>
      <x:c r="G52" s="16"/>
      <x:c r="H52" s="16"/>
      <x:c r="I52" s="16"/>
      <x:c r="J52" s="16"/>
      <x:c r="K52" s="16"/>
      <x:c r="L52" s="16"/>
    </x:row>
    <x:row r="53" ht="21" customHeight="1">
      <x:c r="A53" s="2"/>
      <x:c r="B53" s="2"/>
      <x:c r="C53" s="2" t="str">
        <x:v>Terminal NOPAT</x:v>
      </x:c>
      <x:c r="D53" s="37" t="n">
        <x:f>L13*(1+D51)</x:f>
        <x:v>198593.72477929015</x:v>
      </x:c>
      <x:c r="E53" s="16"/>
      <x:c r="F53" s="61" t="str">
        <x:v>SBC is retained in operating expenses. No separate cash add-back or share-repurchase assumption.</x:v>
      </x:c>
      <x:c r="G53" s="61"/>
      <x:c r="H53" s="61"/>
      <x:c r="I53" s="61"/>
      <x:c r="J53" s="61"/>
      <x:c r="K53" s="61"/>
      <x:c r="L53" s="61"/>
    </x:row>
    <x:row r="54" ht="21" customHeight="1">
      <x:c r="A54" s="2"/>
      <x:c r="B54" s="2"/>
      <x:c r="C54" s="2" t="str">
        <x:v>Terminal reinvestment</x:v>
      </x:c>
      <x:c r="D54" s="37" t="n">
        <x:f>IF(AND(D51&gt;=0,D52&gt;D51),D53*D51/D52,NA())</x:f>
        <x:v>29789.058716893516</x:v>
      </x:c>
      <x:c r="E54" s="16"/>
      <x:c r="F54" s="61"/>
      <x:c r="G54" s="61"/>
      <x:c r="H54" s="61"/>
      <x:c r="I54" s="61"/>
      <x:c r="J54" s="61"/>
      <x:c r="K54" s="61"/>
      <x:c r="L54" s="61"/>
    </x:row>
    <x:row r="55" ht="21" customHeight="1">
      <x:c r="A55" s="2"/>
      <x:c r="B55" s="2"/>
      <x:c r="C55" s="53" t="str">
        <x:v>Terminal free cash flow</x:v>
      </x:c>
      <x:c r="D55" s="56" t="n">
        <x:f>D53-D54</x:f>
        <x:v>168804.66606239663</x:v>
      </x:c>
      <x:c r="E55" s="16"/>
      <x:c r="F55" s="61"/>
      <x:c r="G55" s="61"/>
      <x:c r="H55" s="61"/>
      <x:c r="I55" s="61"/>
      <x:c r="J55" s="61"/>
      <x:c r="K55" s="61"/>
      <x:c r="L55" s="61"/>
    </x:row>
    <x:row r="56" ht="21" customHeight="1">
      <x:c r="A56" s="2"/>
      <x:c r="B56" s="2"/>
      <x:c r="C56" s="2" t="str">
        <x:v>Terminal enterprise value</x:v>
      </x:c>
      <x:c r="D56" s="37" t="n">
        <x:f>IF(D49&gt;D51,D55/(D49-D51),NA())</x:f>
        <x:v>2858906.633796103</x:v>
      </x:c>
      <x:c r="E56" s="16"/>
      <x:c r="F56" s="16"/>
      <x:c r="G56" s="16"/>
      <x:c r="H56" s="16"/>
      <x:c r="I56" s="16"/>
      <x:c r="J56" s="16"/>
      <x:c r="K56" s="16"/>
      <x:c r="L56" s="16"/>
    </x:row>
    <x:row r="57" ht="21" customHeight="1">
      <x:c r="A57" s="2"/>
      <x:c r="B57" s="2"/>
      <x:c r="C57" s="2" t="str">
        <x:v>Present value of terminal value</x:v>
      </x:c>
      <x:c r="D57" s="37" t="n">
        <x:f>D56*L37</x:f>
        <x:v>1879383.2340737565</x:v>
      </x:c>
      <x:c r="E57" s="16"/>
      <x:c r="F57" s="16"/>
      <x:c r="G57" s="16"/>
      <x:c r="H57" s="16"/>
      <x:c r="I57" s="16"/>
      <x:c r="J57" s="16"/>
      <x:c r="K57" s="16"/>
      <x:c r="L57" s="16"/>
    </x:row>
    <x:row r="58" ht="21" customHeight="1">
      <x:c r="A58" s="2"/>
      <x:c r="B58" s="2"/>
      <x:c r="C58" s="2" t="str">
        <x:v>Present value of explicit forecast</x:v>
      </x:c>
      <x:c r="D58" s="37" t="n">
        <x:f>SUM(H38:L38)</x:f>
        <x:v>424876.3983328265</x:v>
      </x:c>
      <x:c r="E58" s="16"/>
      <x:c r="F58" s="61" t="str">
        <x:v>FY2026 cash flow is prorated for the 334 days after the valuation date. Annual cash flows are discounted at fiscal year-end. July balance-sheet changes are not modeled.</x:v>
      </x:c>
      <x:c r="G58" s="61"/>
      <x:c r="H58" s="61"/>
      <x:c r="I58" s="61"/>
      <x:c r="J58" s="61"/>
      <x:c r="K58" s="61"/>
      <x:c r="L58" s="61"/>
    </x:row>
    <x:row r="59" ht="21" customHeight="1">
      <x:c r="A59" s="2"/>
      <x:c r="B59" s="2"/>
      <x:c r="C59" s="53" t="str">
        <x:v>Enterprise value</x:v>
      </x:c>
      <x:c r="D59" s="56" t="n">
        <x:f>SUM(D57:D58)</x:f>
        <x:v>2304259.632406583</x:v>
      </x:c>
      <x:c r="E59" s="16"/>
      <x:c r="F59" s="61"/>
      <x:c r="G59" s="61"/>
      <x:c r="H59" s="61"/>
      <x:c r="I59" s="61"/>
      <x:c r="J59" s="61"/>
      <x:c r="K59" s="61"/>
      <x:c r="L59" s="61"/>
    </x:row>
    <x:row r="60" ht="21" customHeight="1">
      <x:c r="A60" s="2"/>
      <x:c r="B60" s="2"/>
      <x:c r="C60" s="2"/>
      <x:c r="D60" s="16"/>
      <x:c r="E60" s="16"/>
      <x:c r="F60" s="61"/>
      <x:c r="G60" s="61"/>
      <x:c r="H60" s="61"/>
      <x:c r="I60" s="61"/>
      <x:c r="J60" s="61"/>
      <x:c r="K60" s="61"/>
      <x:c r="L60" s="61"/>
    </x:row>
    <x:row r="61" ht="21" customHeight="1">
      <x:c r="A61" s="2"/>
      <x:c r="B61" s="2"/>
      <x:c r="C61" s="2" t="str">
        <x:v>Cash and short-term investments</x:v>
      </x:c>
      <x:c r="D61" s="36" t="n">
        <x:f>IF(AND(ISNUMBER('Sources'!F23),'Sources'!F23&gt;=0),'Sources'!F23,NA())+IF(AND(ISNUMBER('Sources'!F24),'Sources'!F24&gt;=0),'Sources'!F24,NA())</x:f>
        <x:v>94565</x:v>
      </x:c>
      <x:c r="E61" s="16"/>
      <x:c r="F61" s="61"/>
      <x:c r="G61" s="61"/>
      <x:c r="H61" s="61"/>
      <x:c r="I61" s="61"/>
      <x:c r="J61" s="61"/>
      <x:c r="K61" s="61"/>
      <x:c r="L61" s="61"/>
    </x:row>
    <x:row r="62" ht="21" customHeight="1">
      <x:c r="A62" s="2"/>
      <x:c r="B62" s="2"/>
      <x:c r="C62" s="2" t="str">
        <x:v>Equity and other investments</x:v>
      </x:c>
      <x:c r="D62" s="36" t="n">
        <x:f>IF(AND(ISNUMBER('Sources'!F25),'Sources'!F25&gt;=0),'Sources'!F25,NA())</x:f>
        <x:v>15405</x:v>
      </x:c>
      <x:c r="E62" s="16"/>
      <x:c r="F62" s="16"/>
      <x:c r="G62" s="16"/>
      <x:c r="H62" s="16"/>
      <x:c r="I62" s="16"/>
      <x:c r="J62" s="16"/>
      <x:c r="K62" s="16"/>
      <x:c r="L62" s="16"/>
    </x:row>
    <x:row r="63" ht="21" customHeight="1">
      <x:c r="A63" s="2"/>
      <x:c r="B63" s="2"/>
      <x:c r="C63" s="2" t="str">
        <x:v>Debt and finance-lease liabilities</x:v>
      </x:c>
      <x:c r="D63" s="36" t="n">
        <x:f>IF(AND(ISNUMBER('Sources'!F26),'Sources'!F26&gt;=0),'Sources'!F26,NA())+IF(AND(ISNUMBER('Sources'!F27),'Sources'!F27&gt;=0),'Sources'!F27,NA())+IF(AND(ISNUMBER('Sources'!F28),'Sources'!F28&gt;=0),'Sources'!F28,NA())+IF(AND(ISNUMBER('Sources'!F29),'Sources'!F29&gt;=0),'Sources'!F29,NA())+IF(AND(ISNUMBER('Sources'!F30),'Sources'!F30&gt;=0),'Sources'!F30,NA())</x:f>
        <x:v>89323</x:v>
      </x:c>
      <x:c r="E63" s="16"/>
      <x:c r="F63" s="16"/>
      <x:c r="G63" s="16"/>
      <x:c r="H63" s="16"/>
      <x:c r="I63" s="16"/>
      <x:c r="J63" s="16"/>
      <x:c r="K63" s="16"/>
      <x:c r="L63" s="16"/>
    </x:row>
    <x:row r="64" ht="21" customHeight="1">
      <x:c r="A64" s="2"/>
      <x:c r="B64" s="2"/>
      <x:c r="C64" s="53" t="str">
        <x:v>Implied equity value</x:v>
      </x:c>
      <x:c r="D64" s="56" t="n">
        <x:f>D59+D61+D62-D63</x:f>
        <x:v>2324906.632406583</x:v>
      </x:c>
      <x:c r="E64" s="16"/>
      <x:c r="F64" s="16"/>
      <x:c r="G64" s="16"/>
      <x:c r="H64" s="16"/>
      <x:c r="I64" s="16"/>
      <x:c r="J64" s="16"/>
      <x:c r="K64" s="16"/>
      <x:c r="L64" s="16"/>
    </x:row>
    <x:row r="65" ht="21" customHeight="1">
      <x:c r="A65" s="2"/>
      <x:c r="B65" s="2"/>
      <x:c r="C65" s="2" t="str">
        <x:v>Period-end shares (millions)</x:v>
      </x:c>
      <x:c r="D65" s="36" t="n">
        <x:f>IF(AND(ISNUMBER('Sources'!F31),'Sources'!F31&gt;0),'Sources'!F31,NA())</x:f>
        <x:v>7434</x:v>
      </x:c>
      <x:c r="E65" s="16"/>
      <x:c r="F65" s="16"/>
      <x:c r="G65" s="16"/>
      <x:c r="H65" s="16"/>
      <x:c r="I65" s="16"/>
      <x:c r="J65" s="16"/>
      <x:c r="K65" s="16"/>
      <x:c r="L65" s="16"/>
    </x:row>
    <x:row r="66" ht="21" customHeight="1">
      <x:c r="A66" s="2"/>
      <x:c r="B66" s="2"/>
      <x:c r="C66" s="53" t="str">
        <x:v>Implied value per share</x:v>
      </x:c>
      <x:c r="D66" s="60" t="n">
        <x:f>D64/D65</x:f>
        <x:v>312.73965999550484</x:v>
      </x:c>
      <x:c r="E66" s="16"/>
      <x:c r="F66" s="16"/>
      <x:c r="G66" s="16"/>
      <x:c r="H66" s="16"/>
      <x:c r="I66" s="16"/>
      <x:c r="J66" s="16"/>
      <x:c r="K66" s="16"/>
      <x:c r="L66" s="16"/>
    </x:row>
    <x:row r="67" ht="21" customHeight="1">
      <x:c r="A67" s="2"/>
      <x:c r="B67" s="2"/>
      <x:c r="C67" s="2" t="str">
        <x:v>Historical reference share price</x:v>
      </x:c>
      <x:c r="D67" s="44" t="n">
        <x:f>IF(AND(ISNUMBER('Sources'!F55),'Sources'!F55&gt;0),'Sources'!F55,NA())</x:f>
        <x:v>533.5</x:v>
      </x:c>
      <x:c r="E67" s="16"/>
      <x:c r="F67" s="16"/>
      <x:c r="G67" s="16"/>
      <x:c r="H67" s="16"/>
      <x:c r="I67" s="16"/>
      <x:c r="J67" s="16"/>
      <x:c r="K67" s="16"/>
      <x:c r="L67" s="16"/>
    </x:row>
    <x:row r="68" ht="21" customHeight="1">
      <x:c r="A68" s="2"/>
      <x:c r="B68" s="2"/>
      <x:c r="C68" s="2" t="str">
        <x:v>Value / reference price less one</x:v>
      </x:c>
      <x:c r="D68" s="42" t="n">
        <x:f>D66/D67-1</x:f>
        <x:v>-0.4137963261565045</x:v>
      </x:c>
      <x:c r="E68" s="16"/>
      <x:c r="F68" s="16"/>
      <x:c r="G68" s="16"/>
      <x:c r="H68" s="16"/>
      <x:c r="I68" s="16"/>
      <x:c r="J68" s="16"/>
      <x:c r="K68" s="16"/>
      <x:c r="L68" s="16"/>
    </x:row>
    <x:row r="69" ht="21" customHeight="1">
      <x:c r="A69" s="2"/>
      <x:c r="B69" s="2"/>
      <x:c r="C69" s="2" t="str">
        <x:v>Terminal value / enterprise value</x:v>
      </x:c>
      <x:c r="D69" s="42" t="n">
        <x:f>D57/D59</x:f>
        <x:v>0.8156126191868913</x:v>
      </x:c>
      <x:c r="E69" s="16"/>
      <x:c r="F69" s="16"/>
      <x:c r="G69" s="16"/>
      <x:c r="H69" s="16"/>
      <x:c r="I69" s="16"/>
      <x:c r="J69" s="16"/>
      <x:c r="K69" s="16"/>
      <x:c r="L69" s="16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32" customHeight="1">
      <x:c r="A72" s="2"/>
      <x:c r="B72" s="2"/>
      <x:c r="C72" s="17" t="str">
        <x:v>Terminal cash flow is normalized using growth / ROIC reinvestment, rather than extending the final year's asset-spending pattern.</x:v>
      </x:c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32" customHeight="1">
      <x:c r="A74" s="2"/>
      <x:c r="B74" s="2"/>
      <x:c r="C74" s="17" t="str">
        <x:v>The PP&amp;E schedule assumes no disposals or impairments. New-asset useful life must be at least five years. Existing intangible amortization follows Note 9.</x:v>
      </x:c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32" customHeight="1">
      <x:c r="A76" s="2"/>
      <x:c r="B76" s="2"/>
      <x:c r="C76" s="17" t="str">
        <x:v>The enterprise-to-equity bridge uses 30 June balances. Debt carrying values approximate market values. Investments are assumed realizable at book value.</x:v>
      </x:c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F45:L46"/>
    <x:mergeCell ref="F48:L50"/>
    <x:mergeCell ref="F53:L55"/>
    <x:mergeCell ref="F58:L61"/>
    <x:mergeCell ref="C72:L72"/>
    <x:mergeCell ref="C74:L74"/>
    <x:mergeCell ref="C76:L7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Valuation sensitivity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Implied USD per share. Selected operating forecast held constant; discount rate and terminal growth vary.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Selected case</x:v>
      </x:c>
      <x:c r="D5" s="8" t="str">
        <x:f>'Assumptions'!E5</x:f>
        <x:v>Base</x:v>
      </x:c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2"/>
      <x:c r="B8" s="2"/>
      <x:c r="C8" s="17" t="str">
        <x:v>Column headers: terminal growth. Row headers: WACC. The center cell matches the active DCF.</x:v>
      </x:c>
      <x:c r="D8" s="17"/>
      <x:c r="E8" s="17"/>
      <x:c r="F8" s="17"/>
      <x:c r="G8" s="17"/>
      <x:c r="H8" s="17"/>
      <x:c r="I8" s="17"/>
      <x:c r="J8" s="17"/>
      <x:c r="K8" s="17"/>
      <x:c r="L8" s="17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1" customHeight="1">
      <x:c r="A11" s="2"/>
      <x:c r="B11" s="2"/>
      <x:c r="C11" s="2" t="str">
        <x:v>WACC / terminal growth</x:v>
      </x:c>
      <x:c r="D11" s="12"/>
      <x:c r="E11" s="76" t="n">
        <x:f>'DCF'!D51+-0.005</x:f>
        <x:v>0.024999999999999998</x:v>
      </x:c>
      <x:c r="F11" s="76" t="n">
        <x:f>'DCF'!D51+-0.0025</x:f>
        <x:v>0.0275</x:v>
      </x:c>
      <x:c r="G11" s="76" t="n">
        <x:f>'DCF'!D51+0</x:f>
        <x:v>0.03</x:v>
      </x:c>
      <x:c r="H11" s="76" t="n">
        <x:f>'DCF'!D51+0.0025</x:f>
        <x:v>0.0325</x:v>
      </x:c>
      <x:c r="I11" s="76" t="n">
        <x:f>'DCF'!D51+0.005</x:f>
        <x:v>0.034999999999999996</x:v>
      </x:c>
      <x:c r="J11" s="2"/>
      <x:c r="K11" s="2"/>
      <x:c r="L11" s="2"/>
    </x:row>
    <x:row r="12" ht="21" customHeight="1">
      <x:c r="A12" s="2"/>
      <x:c r="B12" s="2"/>
      <x:c r="C12" s="2"/>
      <x:c r="D12" s="77" t="n">
        <x:f>'DCF'!D49+-0.01</x:f>
        <x:v>0.07904518324134813</x:v>
      </x:c>
      <x:c r="E12" s="78" t="n">
        <x:f>IF(AND($D12&gt;E$11,E$11&gt;=0,'DCF'!$D$52&gt;E$11),('DCF'!H32*'DCF'!H34/(1+$D12)^'DCF'!H35+'DCF'!I32/(1+$D12)^'DCF'!I35+'DCF'!J32/(1+$D12)^'DCF'!J35+'DCF'!K32/(1+$D12)^'DCF'!K35+'DCF'!L32/(1+$D12)^'DCF'!L35+'DCF'!$L$13*(1+E$11)*(1-E$11/'DCF'!$D$52)/($D12-E$11)/(1+$D12)^'DCF'!$L$35+'DCF'!$D$61+'DCF'!$D$62-'DCF'!$D$63)/'DCF'!$D$65,NA())</x:f>
        <x:v>357.8075328840517</x:v>
      </x:c>
      <x:c r="F12" s="78" t="n">
        <x:f>IF(AND($D12&gt;F$11,F$11&gt;=0,'DCF'!$D$52&gt;F$11),('DCF'!H32*'DCF'!H34/(1+$D12)^'DCF'!H35+'DCF'!I32/(1+$D12)^'DCF'!I35+'DCF'!J32/(1+$D12)^'DCF'!J35+'DCF'!K32/(1+$D12)^'DCF'!K35+'DCF'!L32/(1+$D12)^'DCF'!L35+'DCF'!$L$13*(1+F$11)*(1-F$11/'DCF'!$D$52)/($D12-F$11)/(1+$D12)^'DCF'!$L$35+'DCF'!$D$61+'DCF'!$D$62-'DCF'!$D$63)/'DCF'!$D$65,NA())</x:f>
        <x:v>368.4789742080924</x:v>
      </x:c>
      <x:c r="G12" s="78" t="n">
        <x:f>IF(AND($D12&gt;G$11,G$11&gt;=0,'DCF'!$D$52&gt;G$11),('DCF'!H32*'DCF'!H34/(1+$D12)^'DCF'!H35+'DCF'!I32/(1+$D12)^'DCF'!I35+'DCF'!J32/(1+$D12)^'DCF'!J35+'DCF'!K32/(1+$D12)^'DCF'!K35+'DCF'!L32/(1+$D12)^'DCF'!L35+'DCF'!$L$13*(1+G$11)*(1-G$11/'DCF'!$D$52)/($D12-G$11)/(1+$D12)^'DCF'!$L$35+'DCF'!$D$61+'DCF'!$D$62-'DCF'!$D$63)/'DCF'!$D$65,NA())</x:f>
        <x:v>380.21559931669896</x:v>
      </x:c>
      <x:c r="H12" s="78" t="n">
        <x:f>IF(AND($D12&gt;H$11,H$11&gt;=0,'DCF'!$D$52&gt;H$11),('DCF'!H32*'DCF'!H34/(1+$D12)^'DCF'!H35+'DCF'!I32/(1+$D12)^'DCF'!I35+'DCF'!J32/(1+$D12)^'DCF'!J35+'DCF'!K32/(1+$D12)^'DCF'!K35+'DCF'!L32/(1+$D12)^'DCF'!L35+'DCF'!$L$13*(1+H$11)*(1-H$11/'DCF'!$D$52)/($D12-H$11)/(1+$D12)^'DCF'!$L$35+'DCF'!$D$61+'DCF'!$D$62-'DCF'!$D$63)/'DCF'!$D$65,NA())</x:f>
        <x:v>393.1890452693459</x:v>
      </x:c>
      <x:c r="I12" s="78" t="n">
        <x:f>IF(AND($D12&gt;I$11,I$11&gt;=0,'DCF'!$D$52&gt;I$11),('DCF'!H32*'DCF'!H34/(1+$D12)^'DCF'!H35+'DCF'!I32/(1+$D12)^'DCF'!I35+'DCF'!J32/(1+$D12)^'DCF'!J35+'DCF'!K32/(1+$D12)^'DCF'!K35+'DCF'!L32/(1+$D12)^'DCF'!L35+'DCF'!$L$13*(1+I$11)*(1-I$11/'DCF'!$D$52)/($D12-I$11)/(1+$D12)^'DCF'!$L$35+'DCF'!$D$61+'DCF'!$D$62-'DCF'!$D$63)/'DCF'!$D$65,NA())</x:f>
        <x:v>407.60991753177683</x:v>
      </x:c>
      <x:c r="J12" s="2"/>
      <x:c r="K12" s="2"/>
      <x:c r="L12" s="2"/>
    </x:row>
    <x:row r="13" ht="21" customHeight="1">
      <x:c r="A13" s="2"/>
      <x:c r="B13" s="2"/>
      <x:c r="C13" s="2"/>
      <x:c r="D13" s="77" t="n">
        <x:f>'DCF'!D49+-0.005</x:f>
        <x:v>0.08404518324134812</x:v>
      </x:c>
      <x:c r="E13" s="78" t="n">
        <x:f>IF(AND($D13&gt;E$11,E$11&gt;=0,'DCF'!$D$52&gt;E$11),('DCF'!H32*'DCF'!H34/(1+$D13)^'DCF'!H35+'DCF'!I32/(1+$D13)^'DCF'!I35+'DCF'!J32/(1+$D13)^'DCF'!J35+'DCF'!K32/(1+$D13)^'DCF'!K35+'DCF'!L32/(1+$D13)^'DCF'!L35+'DCF'!$L$13*(1+E$11)*(1-E$11/'DCF'!$D$52)/($D13-E$11)/(1+$D13)^'DCF'!$L$35+'DCF'!$D$61+'DCF'!$D$62-'DCF'!$D$63)/'DCF'!$D$65,NA())</x:f>
        <x:v>325.73166272639594</x:v>
      </x:c>
      <x:c r="F13" s="78" t="n">
        <x:f>IF(AND($D13&gt;F$11,F$11&gt;=0,'DCF'!$D$52&gt;F$11),('DCF'!H32*'DCF'!H34/(1+$D13)^'DCF'!H35+'DCF'!I32/(1+$D13)^'DCF'!I35+'DCF'!J32/(1+$D13)^'DCF'!J35+'DCF'!K32/(1+$D13)^'DCF'!K35+'DCF'!L32/(1+$D13)^'DCF'!L35+'DCF'!$L$13*(1+F$11)*(1-F$11/'DCF'!$D$52)/($D13-F$11)/(1+$D13)^'DCF'!$L$35+'DCF'!$D$61+'DCF'!$D$62-'DCF'!$D$63)/'DCF'!$D$65,NA())</x:f>
        <x:v>334.1572518111875</x:v>
      </x:c>
      <x:c r="G13" s="78" t="n">
        <x:f>IF(AND($D13&gt;G$11,G$11&gt;=0,'DCF'!$D$52&gt;G$11),('DCF'!H32*'DCF'!H34/(1+$D13)^'DCF'!H35+'DCF'!I32/(1+$D13)^'DCF'!I35+'DCF'!J32/(1+$D13)^'DCF'!J35+'DCF'!K32/(1+$D13)^'DCF'!K35+'DCF'!L32/(1+$D13)^'DCF'!L35+'DCF'!$L$13*(1+G$11)*(1-G$11/'DCF'!$D$52)/($D13-G$11)/(1+$D13)^'DCF'!$L$35+'DCF'!$D$61+'DCF'!$D$62-'DCF'!$D$63)/'DCF'!$D$65,NA())</x:f>
        <x:v>343.342167362631</x:v>
      </x:c>
      <x:c r="H13" s="78" t="n">
        <x:f>IF(AND($D13&gt;H$11,H$11&gt;=0,'DCF'!$D$52&gt;H$11),('DCF'!H32*'DCF'!H34/(1+$D13)^'DCF'!H35+'DCF'!I32/(1+$D13)^'DCF'!I35+'DCF'!J32/(1+$D13)^'DCF'!J35+'DCF'!K32/(1+$D13)^'DCF'!K35+'DCF'!L32/(1+$D13)^'DCF'!L35+'DCF'!$L$13*(1+H$11)*(1-H$11/'DCF'!$D$52)/($D13-H$11)/(1+$D13)^'DCF'!$L$35+'DCF'!$D$61+'DCF'!$D$62-'DCF'!$D$63)/'DCF'!$D$65,NA())</x:f>
        <x:v>353.3968939719486</x:v>
      </x:c>
      <x:c r="I13" s="78" t="n">
        <x:f>IF(AND($D13&gt;I$11,I$11&gt;=0,'DCF'!$D$52&gt;I$11),('DCF'!H32*'DCF'!H34/(1+$D13)^'DCF'!H35+'DCF'!I32/(1+$D13)^'DCF'!I35+'DCF'!J32/(1+$D13)^'DCF'!J35+'DCF'!K32/(1+$D13)^'DCF'!K35+'DCF'!L32/(1+$D13)^'DCF'!L35+'DCF'!$L$13*(1+I$11)*(1-I$11/'DCF'!$D$52)/($D13-I$11)/(1+$D13)^'DCF'!$L$35+'DCF'!$D$61+'DCF'!$D$62-'DCF'!$D$63)/'DCF'!$D$65,NA())</x:f>
        <x:v>364.45444333372313</x:v>
      </x:c>
      <x:c r="J13" s="2"/>
      <x:c r="K13" s="2"/>
      <x:c r="L13" s="2"/>
    </x:row>
    <x:row r="14" ht="21" customHeight="1">
      <x:c r="A14" s="2"/>
      <x:c r="B14" s="2"/>
      <x:c r="C14" s="2"/>
      <x:c r="D14" s="77" t="n">
        <x:f>'DCF'!D49+0</x:f>
        <x:v>0.08904518324134812</x:v>
      </x:c>
      <x:c r="E14" s="78" t="n">
        <x:f>IF(AND($D14&gt;E$11,E$11&gt;=0,'DCF'!$D$52&gt;E$11),('DCF'!H32*'DCF'!H34/(1+$D14)^'DCF'!H35+'DCF'!I32/(1+$D14)^'DCF'!I35+'DCF'!J32/(1+$D14)^'DCF'!J35+'DCF'!K32/(1+$D14)^'DCF'!K35+'DCF'!L32/(1+$D14)^'DCF'!L35+'DCF'!$L$13*(1+E$11)*(1-E$11/'DCF'!$D$52)/($D14-E$11)/(1+$D14)^'DCF'!$L$35+'DCF'!$D$61+'DCF'!$D$62-'DCF'!$D$63)/'DCF'!$D$65,NA())</x:f>
        <x:v>298.69325236255764</x:v>
      </x:c>
      <x:c r="F14" s="78" t="n">
        <x:f>IF(AND($D14&gt;F$11,F$11&gt;=0,'DCF'!$D$52&gt;F$11),('DCF'!H32*'DCF'!H34/(1+$D14)^'DCF'!H35+'DCF'!I32/(1+$D14)^'DCF'!I35+'DCF'!J32/(1+$D14)^'DCF'!J35+'DCF'!K32/(1+$D14)^'DCF'!K35+'DCF'!L32/(1+$D14)^'DCF'!L35+'DCF'!$L$13*(1+F$11)*(1-F$11/'DCF'!$D$52)/($D14-F$11)/(1+$D14)^'DCF'!$L$35+'DCF'!$D$61+'DCF'!$D$62-'DCF'!$D$63)/'DCF'!$D$65,NA())</x:f>
        <x:v>305.4398268775438</x:v>
      </x:c>
      <x:c r="G14" s="80" t="n">
        <x:f>IF(AND($D14&gt;G$11,G$11&gt;=0,'DCF'!$D$52&gt;G$11),('DCF'!H32*'DCF'!H34/(1+$D14)^'DCF'!H35+'DCF'!I32/(1+$D14)^'DCF'!I35+'DCF'!J32/(1+$D14)^'DCF'!J35+'DCF'!K32/(1+$D14)^'DCF'!K35+'DCF'!L32/(1+$D14)^'DCF'!L35+'DCF'!$L$13*(1+G$11)*(1-G$11/'DCF'!$D$52)/($D14-G$11)/(1+$D14)^'DCF'!$L$35+'DCF'!$D$61+'DCF'!$D$62-'DCF'!$D$63)/'DCF'!$D$65,NA())</x:f>
        <x:v>312.7396599955048</x:v>
      </x:c>
      <x:c r="H14" s="78" t="n">
        <x:f>IF(AND($D14&gt;H$11,H$11&gt;=0,'DCF'!$D$52&gt;H$11),('DCF'!H32*'DCF'!H34/(1+$D14)^'DCF'!H35+'DCF'!I32/(1+$D14)^'DCF'!I35+'DCF'!J32/(1+$D14)^'DCF'!J35+'DCF'!K32/(1+$D14)^'DCF'!K35+'DCF'!L32/(1+$D14)^'DCF'!L35+'DCF'!$L$13*(1+H$11)*(1-H$11/'DCF'!$D$52)/($D14-H$11)/(1+$D14)^'DCF'!$L$35+'DCF'!$D$61+'DCF'!$D$62-'DCF'!$D$63)/'DCF'!$D$65,NA())</x:f>
        <x:v>320.66613443950297</x:v>
      </x:c>
      <x:c r="I14" s="78" t="n">
        <x:f>IF(AND($D14&gt;I$11,I$11&gt;=0,'DCF'!$D$52&gt;I$11),('DCF'!H32*'DCF'!H34/(1+$D14)^'DCF'!H35+'DCF'!I32/(1+$D14)^'DCF'!I35+'DCF'!J32/(1+$D14)^'DCF'!J35+'DCF'!K32/(1+$D14)^'DCF'!K35+'DCF'!L32/(1+$D14)^'DCF'!L35+'DCF'!$L$13*(1+I$11)*(1-I$11/'DCF'!$D$52)/($D14-I$11)/(1+$D14)^'DCF'!$L$35+'DCF'!$D$61+'DCF'!$D$62-'DCF'!$D$63)/'DCF'!$D$65,NA())</x:f>
        <x:v>329.30621096465853</x:v>
      </x:c>
      <x:c r="J14" s="2"/>
      <x:c r="K14" s="2"/>
      <x:c r="L14" s="2"/>
    </x:row>
    <x:row r="15" ht="21" customHeight="1">
      <x:c r="A15" s="2"/>
      <x:c r="B15" s="2"/>
      <x:c r="C15" s="2"/>
      <x:c r="D15" s="77" t="n">
        <x:f>'DCF'!D49+0.005</x:f>
        <x:v>0.09404518324134813</x:v>
      </x:c>
      <x:c r="E15" s="78" t="n">
        <x:f>IF(AND($D15&gt;E$11,E$11&gt;=0,'DCF'!$D$52&gt;E$11),('DCF'!H32*'DCF'!H34/(1+$D15)^'DCF'!H35+'DCF'!I32/(1+$D15)^'DCF'!I35+'DCF'!J32/(1+$D15)^'DCF'!J35+'DCF'!K32/(1+$D15)^'DCF'!K35+'DCF'!L32/(1+$D15)^'DCF'!L35+'DCF'!$L$13*(1+E$11)*(1-E$11/'DCF'!$D$52)/($D15-E$11)/(1+$D15)^'DCF'!$L$35+'DCF'!$D$61+'DCF'!$D$62-'DCF'!$D$63)/'DCF'!$D$65,NA())</x:f>
        <x:v>275.59738420454295</x:v>
      </x:c>
      <x:c r="F15" s="78" t="n">
        <x:f>IF(AND($D15&gt;F$11,F$11&gt;=0,'DCF'!$D$52&gt;F$11),('DCF'!H32*'DCF'!H34/(1+$D15)^'DCF'!H35+'DCF'!I32/(1+$D15)^'DCF'!I35+'DCF'!J32/(1+$D15)^'DCF'!J35+'DCF'!K32/(1+$D15)^'DCF'!K35+'DCF'!L32/(1+$D15)^'DCF'!L35+'DCF'!$L$13*(1+F$11)*(1-F$11/'DCF'!$D$52)/($D15-F$11)/(1+$D15)^'DCF'!$L$35+'DCF'!$D$61+'DCF'!$D$62-'DCF'!$D$63)/'DCF'!$D$65,NA())</x:f>
        <x:v>281.06295168297856</x:v>
      </x:c>
      <x:c r="G15" s="78" t="n">
        <x:f>IF(AND($D15&gt;G$11,G$11&gt;=0,'DCF'!$D$52&gt;G$11),('DCF'!H32*'DCF'!H34/(1+$D15)^'DCF'!H35+'DCF'!I32/(1+$D15)^'DCF'!I35+'DCF'!J32/(1+$D15)^'DCF'!J35+'DCF'!K32/(1+$D15)^'DCF'!K35+'DCF'!L32/(1+$D15)^'DCF'!L35+'DCF'!$L$13*(1+G$11)*(1-G$11/'DCF'!$D$52)/($D15-G$11)/(1+$D15)^'DCF'!$L$35+'DCF'!$D$61+'DCF'!$D$62-'DCF'!$D$63)/'DCF'!$D$65,NA())</x:f>
        <x:v>286.9389474828398</x:v>
      </x:c>
      <x:c r="H15" s="78" t="n">
        <x:f>IF(AND($D15&gt;H$11,H$11&gt;=0,'DCF'!$D$52&gt;H$11),('DCF'!H32*'DCF'!H34/(1+$D15)^'DCF'!H35+'DCF'!I32/(1+$D15)^'DCF'!I35+'DCF'!J32/(1+$D15)^'DCF'!J35+'DCF'!K32/(1+$D15)^'DCF'!K35+'DCF'!L32/(1+$D15)^'DCF'!L35+'DCF'!$L$13*(1+H$11)*(1-H$11/'DCF'!$D$52)/($D15-H$11)/(1+$D15)^'DCF'!$L$35+'DCF'!$D$61+'DCF'!$D$62-'DCF'!$D$63)/'DCF'!$D$65,NA())</x:f>
        <x:v>293.275387092725</x:v>
      </x:c>
      <x:c r="I15" s="78" t="n">
        <x:f>IF(AND($D15&gt;I$11,I$11&gt;=0,'DCF'!$D$52&gt;I$11),('DCF'!H32*'DCF'!H34/(1+$D15)^'DCF'!H35+'DCF'!I32/(1+$D15)^'DCF'!I35+'DCF'!J32/(1+$D15)^'DCF'!J35+'DCF'!K32/(1+$D15)^'DCF'!K35+'DCF'!L32/(1+$D15)^'DCF'!L35+'DCF'!$L$13*(1+I$11)*(1-I$11/'DCF'!$D$52)/($D15-I$11)/(1+$D15)^'DCF'!$L$35+'DCF'!$D$61+'DCF'!$D$62-'DCF'!$D$63)/'DCF'!$D$65,NA())</x:f>
        <x:v>300.1307567156673</x:v>
      </x:c>
      <x:c r="J15" s="2"/>
      <x:c r="K15" s="2"/>
      <x:c r="L15" s="2"/>
    </x:row>
    <x:row r="16" ht="21" customHeight="1">
      <x:c r="A16" s="2"/>
      <x:c r="B16" s="2"/>
      <x:c r="C16" s="2"/>
      <x:c r="D16" s="77" t="n">
        <x:f>'DCF'!D49+0.01</x:f>
        <x:v>0.09904518324134812</x:v>
      </x:c>
      <x:c r="E16" s="78" t="n">
        <x:f>IF(AND($D16&gt;E$11,E$11&gt;=0,'DCF'!$D$52&gt;E$11),('DCF'!H32*'DCF'!H34/(1+$D16)^'DCF'!H35+'DCF'!I32/(1+$D16)^'DCF'!I35+'DCF'!J32/(1+$D16)^'DCF'!J35+'DCF'!K32/(1+$D16)^'DCF'!K35+'DCF'!L32/(1+$D16)^'DCF'!L35+'DCF'!$L$13*(1+E$11)*(1-E$11/'DCF'!$D$52)/($D16-E$11)/(1+$D16)^'DCF'!$L$35+'DCF'!$D$61+'DCF'!$D$62-'DCF'!$D$63)/'DCF'!$D$65,NA())</x:f>
        <x:v>255.6448952589644</x:v>
      </x:c>
      <x:c r="F16" s="78" t="n">
        <x:f>IF(AND($D16&gt;F$11,F$11&gt;=0,'DCF'!$D$52&gt;F$11),('DCF'!H32*'DCF'!H34/(1+$D16)^'DCF'!H35+'DCF'!I32/(1+$D16)^'DCF'!I35+'DCF'!J32/(1+$D16)^'DCF'!J35+'DCF'!K32/(1+$D16)^'DCF'!K35+'DCF'!L32/(1+$D16)^'DCF'!L35+'DCF'!$L$13*(1+F$11)*(1-F$11/'DCF'!$D$52)/($D16-F$11)/(1+$D16)^'DCF'!$L$35+'DCF'!$D$61+'DCF'!$D$62-'DCF'!$D$63)/'DCF'!$D$65,NA())</x:f>
        <x:v>260.1161605724415</x:v>
      </x:c>
      <x:c r="G16" s="78" t="n">
        <x:f>IF(AND($D16&gt;G$11,G$11&gt;=0,'DCF'!$D$52&gt;G$11),('DCF'!H32*'DCF'!H34/(1+$D16)^'DCF'!H35+'DCF'!I32/(1+$D16)^'DCF'!I35+'DCF'!J32/(1+$D16)^'DCF'!J35+'DCF'!K32/(1+$D16)^'DCF'!K35+'DCF'!L32/(1+$D16)^'DCF'!L35+'DCF'!$L$13*(1+G$11)*(1-G$11/'DCF'!$D$52)/($D16-G$11)/(1+$D16)^'DCF'!$L$35+'DCF'!$D$61+'DCF'!$D$62-'DCF'!$D$63)/'DCF'!$D$65,NA())</x:f>
        <x:v>264.8964633668061</x:v>
      </x:c>
      <x:c r="H16" s="78" t="n">
        <x:f>IF(AND($D16&gt;H$11,H$11&gt;=0,'DCF'!$D$52&gt;H$11),('DCF'!H32*'DCF'!H34/(1+$D16)^'DCF'!H35+'DCF'!I32/(1+$D16)^'DCF'!I35+'DCF'!J32/(1+$D16)^'DCF'!J35+'DCF'!K32/(1+$D16)^'DCF'!K35+'DCF'!L32/(1+$D16)^'DCF'!L35+'DCF'!$L$13*(1+H$11)*(1-H$11/'DCF'!$D$52)/($D16-H$11)/(1+$D16)^'DCF'!$L$35+'DCF'!$D$61+'DCF'!$D$62-'DCF'!$D$63)/'DCF'!$D$65,NA())</x:f>
        <x:v>270.02063382801214</x:v>
      </x:c>
      <x:c r="I16" s="78" t="n">
        <x:f>IF(AND($D16&gt;I$11,I$11&gt;=0,'DCF'!$D$52&gt;I$11),('DCF'!H32*'DCF'!H34/(1+$D16)^'DCF'!H35+'DCF'!I32/(1+$D16)^'DCF'!I35+'DCF'!J32/(1+$D16)^'DCF'!J35+'DCF'!K32/(1+$D16)^'DCF'!K35+'DCF'!L32/(1+$D16)^'DCF'!L35+'DCF'!$L$13*(1+I$11)*(1-I$11/'DCF'!$D$52)/($D16-I$11)/(1+$D16)^'DCF'!$L$35+'DCF'!$D$61+'DCF'!$D$62-'DCF'!$D$63)/'DCF'!$D$65,NA())</x:f>
        <x:v>275.5289405191397</x:v>
      </x:c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2" customHeight="1">
      <x:c r="A19" s="2"/>
      <x:c r="B19" s="2"/>
      <x:c r="C19" s="17" t="str">
        <x:v>Each cell discounts the same five annual cash flows and recomputes terminal reinvestment and terminal value. This is a live formula grid.</x:v>
      </x:c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2" customHeight="1">
      <x:c r="A21" s="2"/>
      <x:c r="B21" s="2"/>
      <x:c r="C21" s="17" t="str">
        <x:v>The grid updates when the case or operating assumptions change. It is not a forecast of future share prices.</x:v>
      </x:c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12" t="str">
        <x:v>Reconciliation checks</x:v>
      </x:c>
      <x:c r="D25" s="12"/>
      <x:c r="E25" s="12"/>
      <x:c r="F25" s="12"/>
      <x:c r="G25" s="12"/>
      <x:c r="H25" s="12"/>
      <x:c r="I25" s="12"/>
      <x:c r="J25" s="2"/>
      <x:c r="K25" s="2"/>
      <x:c r="L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 t="str">
        <x:v>Sensitivity center less DCF</x:v>
      </x:c>
      <x:c r="D27" s="68" t="n">
        <x:f>ROUND(G14-'DCF'!D66,5)</x:f>
        <x:v>0</x:v>
      </x:c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2" t="str">
        <x:v>Equity bridge difference</x:v>
      </x:c>
      <x:c r="D28" s="68" t="n">
        <x:f>ROUND('DCF'!D64-('DCF'!D59+'DCF'!D61+'DCF'!D62-'DCF'!D63),5)</x:f>
        <x:v>0</x:v>
      </x:c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 t="str">
        <x:v>FY2025 gross profit difference</x:v>
      </x:c>
      <x:c r="D29" s="68" t="n">
        <x:f>ROUND('Sources'!F8-'Sources'!F9-'Sources'!F10,5)</x:f>
        <x:v>0</x:v>
      </x:c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 t="str">
        <x:v>FY2025 net income difference</x:v>
      </x:c>
      <x:c r="D30" s="68" t="n">
        <x:f>'Sources'!F12-'Sources'!F13-'Sources'!F18</x:f>
        <x:v>0</x:v>
      </x:c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 t="str">
        <x:v>PP&amp;E roll-forward difference</x:v>
      </x:c>
      <x:c r="D31" s="68" t="n">
        <x:f>ROUND('DCF'!L22-('DCF'!F22+SUM('DCF'!H18:L18)-SUM('DCF'!H21:L21)),5)</x:f>
        <x:v>0</x:v>
      </x:c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2" customHeight="1">
      <x:c r="A34" s="2"/>
      <x:c r="B34" s="2"/>
      <x:c r="C34" s="17" t="str">
        <x:v>Zero means the stated calculation reconciles. Check cells are terminal diagnostics and do not feed the valuation.</x:v>
      </x:c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C8:L8"/>
    <x:mergeCell ref="C19:L19"/>
    <x:mergeCell ref="C21:L21"/>
    <x:mergeCell ref="C34:L34"/>
  </x:mergeCells>
  <x:conditionalFormatting sqref="D27:D27">
    <x:cfRule type="expression" dxfId="0" priority="2">
      <x:formula>ABS(D27)&gt;0.001</x:formula>
    </x:cfRule>
  </x:conditionalFormatting>
  <x:conditionalFormatting sqref="D28:D28">
    <x:cfRule type="expression" dxfId="1" priority="3">
      <x:formula>ABS(D28)&gt;0.001</x:formula>
    </x:cfRule>
  </x:conditionalFormatting>
  <x:conditionalFormatting sqref="D29:D29">
    <x:cfRule type="expression" dxfId="2" priority="4">
      <x:formula>ABS(D29)&gt;0.001</x:formula>
    </x:cfRule>
  </x:conditionalFormatting>
  <x:conditionalFormatting sqref="D30:D30">
    <x:cfRule type="expression" dxfId="3" priority="5">
      <x:formula>ABS(D30)&gt;0.001</x:formula>
    </x:cfRule>
  </x:conditionalFormatting>
  <x:conditionalFormatting sqref="D31:D31">
    <x:cfRule type="expression" dxfId="4" priority="6">
      <x:formula>ABS(D31)&gt;0.001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Reported financial data and sources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USD millions, except per-share price. Fiscal years end 30 June. Published data, not simulated.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Selected case</x:v>
      </x:c>
      <x:c r="D5" s="8" t="str">
        <x:f>'Assumptions'!E5</x:f>
        <x:v>Base</x:v>
      </x:c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12" t="str">
        <x:v>Reported metric</x:v>
      </x:c>
      <x:c r="D7" s="13" t="n">
        <x:v>45107</x:v>
      </x:c>
      <x:c r="E7" s="13" t="n">
        <x:v>45473</x:v>
      </x:c>
      <x:c r="F7" s="13" t="n">
        <x:v>45838</x:v>
      </x:c>
      <x:c r="G7" s="12"/>
      <x:c r="H7" s="12" t="str">
        <x:v>Source section</x:v>
      </x:c>
      <x:c r="I7" s="12"/>
      <x:c r="J7" s="12"/>
      <x:c r="K7" s="12"/>
      <x:c r="L7" s="12"/>
    </x:row>
    <x:row r="8" ht="21" customHeight="1">
      <x:c r="A8" s="2"/>
      <x:c r="B8" s="2"/>
      <x:c r="C8" s="2" t="str">
        <x:v>Revenue</x:v>
      </x:c>
      <x:c r="D8" s="15" t="n">
        <x:v>211915</x:v>
      </x:c>
      <x:c r="E8" s="15" t="n">
        <x:v>245122</x:v>
      </x:c>
      <x:c r="F8" s="15" t="n">
        <x:v>281724</x:v>
      </x:c>
      <x:c r="G8" s="2"/>
      <x:c r="H8" s="2" t="str">
        <x:v>Income statements</x:v>
      </x:c>
      <x:c r="I8" s="2"/>
      <x:c r="J8" s="2"/>
      <x:c r="K8" s="2"/>
      <x:c r="L8" s="2"/>
    </x:row>
    <x:row r="9" ht="21" customHeight="1">
      <x:c r="A9" s="2"/>
      <x:c r="B9" s="2"/>
      <x:c r="C9" s="2" t="str">
        <x:v>Cost of revenue</x:v>
      </x:c>
      <x:c r="D9" s="15" t="n">
        <x:v>65863</x:v>
      </x:c>
      <x:c r="E9" s="15" t="n">
        <x:v>74114</x:v>
      </x:c>
      <x:c r="F9" s="15" t="n">
        <x:v>87831</x:v>
      </x:c>
      <x:c r="G9" s="2"/>
      <x:c r="H9" s="2" t="str">
        <x:v>Income statements</x:v>
      </x:c>
      <x:c r="I9" s="2"/>
      <x:c r="J9" s="2"/>
      <x:c r="K9" s="2"/>
      <x:c r="L9" s="2"/>
    </x:row>
    <x:row r="10" ht="21" customHeight="1">
      <x:c r="A10" s="2"/>
      <x:c r="B10" s="2"/>
      <x:c r="C10" s="2" t="str">
        <x:v>Gross profit</x:v>
      </x:c>
      <x:c r="D10" s="15" t="n">
        <x:v>146052</x:v>
      </x:c>
      <x:c r="E10" s="15" t="n">
        <x:v>171008</x:v>
      </x:c>
      <x:c r="F10" s="15" t="n">
        <x:v>193893</x:v>
      </x:c>
      <x:c r="G10" s="2"/>
      <x:c r="H10" s="2" t="str">
        <x:v>Income statements</x:v>
      </x:c>
      <x:c r="I10" s="2"/>
      <x:c r="J10" s="2"/>
      <x:c r="K10" s="2"/>
      <x:c r="L10" s="2"/>
    </x:row>
    <x:row r="11" ht="21" customHeight="1">
      <x:c r="A11" s="2"/>
      <x:c r="B11" s="2"/>
      <x:c r="C11" s="2" t="str">
        <x:v>Operating income</x:v>
      </x:c>
      <x:c r="D11" s="15" t="n">
        <x:v>88523</x:v>
      </x:c>
      <x:c r="E11" s="15" t="n">
        <x:v>109433</x:v>
      </x:c>
      <x:c r="F11" s="15" t="n">
        <x:v>128528</x:v>
      </x:c>
      <x:c r="G11" s="2"/>
      <x:c r="H11" s="2" t="str">
        <x:v>Income statements</x:v>
      </x:c>
      <x:c r="I11" s="2"/>
      <x:c r="J11" s="2"/>
      <x:c r="K11" s="2"/>
      <x:c r="L11" s="2"/>
    </x:row>
    <x:row r="12" ht="21" customHeight="1">
      <x:c r="A12" s="2"/>
      <x:c r="B12" s="2"/>
      <x:c r="C12" s="2" t="str">
        <x:v>Income before taxes</x:v>
      </x:c>
      <x:c r="D12" s="15" t="n">
        <x:v>89311</x:v>
      </x:c>
      <x:c r="E12" s="15" t="n">
        <x:v>107787</x:v>
      </x:c>
      <x:c r="F12" s="15" t="n">
        <x:v>123627</x:v>
      </x:c>
      <x:c r="G12" s="2"/>
      <x:c r="H12" s="2" t="str">
        <x:v>Income statements</x:v>
      </x:c>
      <x:c r="I12" s="2"/>
      <x:c r="J12" s="2"/>
      <x:c r="K12" s="2"/>
      <x:c r="L12" s="2"/>
    </x:row>
    <x:row r="13" ht="21" customHeight="1">
      <x:c r="A13" s="2"/>
      <x:c r="B13" s="2"/>
      <x:c r="C13" s="2" t="str">
        <x:v>Income tax provision</x:v>
      </x:c>
      <x:c r="D13" s="15" t="n">
        <x:v>16950</x:v>
      </x:c>
      <x:c r="E13" s="15" t="n">
        <x:v>19651</x:v>
      </x:c>
      <x:c r="F13" s="15" t="n">
        <x:v>21795</x:v>
      </x:c>
      <x:c r="G13" s="2"/>
      <x:c r="H13" s="2" t="str">
        <x:v>Income statements</x:v>
      </x:c>
      <x:c r="I13" s="2"/>
      <x:c r="J13" s="2"/>
      <x:c r="K13" s="2"/>
      <x:c r="L13" s="2"/>
    </x:row>
    <x:row r="14" ht="21" customHeight="1">
      <x:c r="A14" s="2"/>
      <x:c r="B14" s="2"/>
      <x:c r="C14" s="2" t="str">
        <x:v>Operating cash flow</x:v>
      </x:c>
      <x:c r="D14" s="15" t="n">
        <x:v>87582</x:v>
      </x:c>
      <x:c r="E14" s="15" t="n">
        <x:v>118548</x:v>
      </x:c>
      <x:c r="F14" s="15" t="n">
        <x:v>136162</x:v>
      </x:c>
      <x:c r="G14" s="2"/>
      <x:c r="H14" s="2" t="str">
        <x:v>Cash flows</x:v>
      </x:c>
      <x:c r="I14" s="2"/>
      <x:c r="J14" s="2"/>
      <x:c r="K14" s="2"/>
      <x:c r="L14" s="2"/>
    </x:row>
    <x:row r="15" ht="21" customHeight="1">
      <x:c r="A15" s="2"/>
      <x:c r="B15" s="2"/>
      <x:c r="C15" s="2" t="str">
        <x:v>Cash additions to PP&amp;E</x:v>
      </x:c>
      <x:c r="D15" s="15" t="n">
        <x:v>28107</x:v>
      </x:c>
      <x:c r="E15" s="15" t="n">
        <x:v>44477</x:v>
      </x:c>
      <x:c r="F15" s="15" t="n">
        <x:v>64551</x:v>
      </x:c>
      <x:c r="G15" s="2"/>
      <x:c r="H15" s="2" t="str">
        <x:v>Cash flows; positive outflow</x:v>
      </x:c>
      <x:c r="I15" s="2"/>
      <x:c r="J15" s="2"/>
      <x:c r="K15" s="2"/>
      <x:c r="L15" s="2"/>
    </x:row>
    <x:row r="16" ht="21" customHeight="1">
      <x:c r="A16" s="2"/>
      <x:c r="B16" s="2"/>
      <x:c r="C16" s="2" t="str">
        <x:v>New finance-lease assets</x:v>
      </x:c>
      <x:c r="D16" s="15" t="n">
        <x:v>3128</x:v>
      </x:c>
      <x:c r="E16" s="15" t="n">
        <x:v>11633</x:v>
      </x:c>
      <x:c r="F16" s="15" t="n">
        <x:v>20511</x:v>
      </x:c>
      <x:c r="G16" s="2"/>
      <x:c r="H16" s="2" t="str">
        <x:v>Note 13; noncash additions</x:v>
      </x:c>
      <x:c r="I16" s="2"/>
      <x:c r="J16" s="2"/>
      <x:c r="K16" s="2"/>
      <x:c r="L16" s="2"/>
    </x:row>
    <x:row r="17" ht="21" customHeight="1">
      <x:c r="A17" s="2"/>
      <x:c r="B17" s="2"/>
      <x:c r="C17" s="2" t="str">
        <x:v>Stock-based compensation</x:v>
      </x:c>
      <x:c r="D17" s="15" t="n">
        <x:v>9611</x:v>
      </x:c>
      <x:c r="E17" s="15" t="n">
        <x:v>10734</x:v>
      </x:c>
      <x:c r="F17" s="15" t="n">
        <x:v>11974</x:v>
      </x:c>
      <x:c r="G17" s="2"/>
      <x:c r="H17" s="2" t="str">
        <x:v>Cash flows</x:v>
      </x:c>
      <x:c r="I17" s="2"/>
      <x:c r="J17" s="2"/>
      <x:c r="K17" s="2"/>
      <x:c r="L17" s="2"/>
    </x:row>
    <x:row r="18" ht="21" customHeight="1">
      <x:c r="A18" s="2"/>
      <x:c r="B18" s="2"/>
      <x:c r="C18" s="2" t="str">
        <x:v>Net income</x:v>
      </x:c>
      <x:c r="D18" s="15" t="n">
        <x:v>72361</x:v>
      </x:c>
      <x:c r="E18" s="15" t="n">
        <x:v>88136</x:v>
      </x:c>
      <x:c r="F18" s="15" t="n">
        <x:v>101832</x:v>
      </x:c>
      <x:c r="G18" s="2"/>
      <x:c r="H18" s="2" t="str">
        <x:v>Income statements</x:v>
      </x:c>
      <x:c r="I18" s="2"/>
      <x:c r="J18" s="2"/>
      <x:c r="K18" s="2"/>
      <x:c r="L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12" t="str">
        <x:v>Balance-sheet inputs and adjustments</x:v>
      </x:c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 t="str">
        <x:v>Cash and cash equivalents</x:v>
      </x:c>
      <x:c r="D23" s="2"/>
      <x:c r="E23" s="15" t="n">
        <x:v>18315</x:v>
      </x:c>
      <x:c r="F23" s="15" t="n">
        <x:v>30242</x:v>
      </x:c>
      <x:c r="G23" s="2"/>
      <x:c r="H23" s="2" t="str">
        <x:v>Balance sheets</x:v>
      </x:c>
      <x:c r="I23" s="2"/>
      <x:c r="J23" s="2"/>
      <x:c r="K23" s="2"/>
      <x:c r="L23" s="2"/>
    </x:row>
    <x:row r="24" ht="21" customHeight="1">
      <x:c r="A24" s="2"/>
      <x:c r="B24" s="2"/>
      <x:c r="C24" s="2" t="str">
        <x:v>Short-term investments</x:v>
      </x:c>
      <x:c r="D24" s="2"/>
      <x:c r="E24" s="15" t="n">
        <x:v>57228</x:v>
      </x:c>
      <x:c r="F24" s="15" t="n">
        <x:v>64323</x:v>
      </x:c>
      <x:c r="G24" s="2"/>
      <x:c r="H24" s="2" t="str">
        <x:v>Balance sheets</x:v>
      </x:c>
      <x:c r="I24" s="2"/>
      <x:c r="J24" s="2"/>
      <x:c r="K24" s="2"/>
      <x:c r="L24" s="2"/>
    </x:row>
    <x:row r="25" ht="21" customHeight="1">
      <x:c r="A25" s="2"/>
      <x:c r="B25" s="2"/>
      <x:c r="C25" s="2" t="str">
        <x:v>Equity and other investments</x:v>
      </x:c>
      <x:c r="D25" s="2"/>
      <x:c r="E25" s="15" t="n">
        <x:v>14600</x:v>
      </x:c>
      <x:c r="F25" s="15" t="n">
        <x:v>15405</x:v>
      </x:c>
      <x:c r="G25" s="2"/>
      <x:c r="H25" s="2" t="str">
        <x:v>Balance sheets</x:v>
      </x:c>
      <x:c r="I25" s="2"/>
      <x:c r="J25" s="2"/>
      <x:c r="K25" s="2"/>
      <x:c r="L25" s="2"/>
    </x:row>
    <x:row r="26" ht="21" customHeight="1">
      <x:c r="A26" s="2"/>
      <x:c r="B26" s="2"/>
      <x:c r="C26" s="2" t="str">
        <x:v>Short-term debt</x:v>
      </x:c>
      <x:c r="D26" s="2"/>
      <x:c r="E26" s="15" t="n">
        <x:v>6693</x:v>
      </x:c>
      <x:c r="F26" s="15" t="n">
        <x:v>0</x:v>
      </x:c>
      <x:c r="G26" s="2"/>
      <x:c r="H26" s="2" t="str">
        <x:v>Balance sheets</x:v>
      </x:c>
      <x:c r="I26" s="2"/>
      <x:c r="J26" s="2"/>
      <x:c r="K26" s="2"/>
      <x:c r="L26" s="2"/>
    </x:row>
    <x:row r="27" ht="21" customHeight="1">
      <x:c r="A27" s="2"/>
      <x:c r="B27" s="2"/>
      <x:c r="C27" s="2" t="str">
        <x:v>Current long-term debt</x:v>
      </x:c>
      <x:c r="D27" s="2"/>
      <x:c r="E27" s="15" t="n">
        <x:v>2249</x:v>
      </x:c>
      <x:c r="F27" s="15" t="n">
        <x:v>2999</x:v>
      </x:c>
      <x:c r="G27" s="2"/>
      <x:c r="H27" s="2" t="str">
        <x:v>Balance sheets</x:v>
      </x:c>
      <x:c r="I27" s="2"/>
      <x:c r="J27" s="2"/>
      <x:c r="K27" s="2"/>
      <x:c r="L27" s="2"/>
    </x:row>
    <x:row r="28" ht="21" customHeight="1">
      <x:c r="A28" s="2"/>
      <x:c r="B28" s="2"/>
      <x:c r="C28" s="2" t="str">
        <x:v>Noncurrent long-term debt</x:v>
      </x:c>
      <x:c r="D28" s="2"/>
      <x:c r="E28" s="15" t="n">
        <x:v>42688</x:v>
      </x:c>
      <x:c r="F28" s="15" t="n">
        <x:v>40152</x:v>
      </x:c>
      <x:c r="G28" s="2"/>
      <x:c r="H28" s="2" t="str">
        <x:v>Balance sheets</x:v>
      </x:c>
      <x:c r="I28" s="2"/>
      <x:c r="J28" s="2"/>
      <x:c r="K28" s="2"/>
      <x:c r="L28" s="2"/>
    </x:row>
    <x:row r="29" ht="21" customHeight="1">
      <x:c r="A29" s="2"/>
      <x:c r="B29" s="2"/>
      <x:c r="C29" s="2" t="str">
        <x:v>Current finance-lease liability</x:v>
      </x:c>
      <x:c r="D29" s="2"/>
      <x:c r="E29" s="15" t="n">
        <x:v>2349</x:v>
      </x:c>
      <x:c r="F29" s="15" t="n">
        <x:v>3172</x:v>
      </x:c>
      <x:c r="G29" s="2"/>
      <x:c r="H29" s="2" t="str">
        <x:v>Note 13</x:v>
      </x:c>
      <x:c r="I29" s="2"/>
      <x:c r="J29" s="2"/>
      <x:c r="K29" s="2"/>
      <x:c r="L29" s="2"/>
    </x:row>
    <x:row r="30" ht="21" customHeight="1">
      <x:c r="A30" s="2"/>
      <x:c r="B30" s="2"/>
      <x:c r="C30" s="2" t="str">
        <x:v>Noncurrent finance-lease liability</x:v>
      </x:c>
      <x:c r="D30" s="2"/>
      <x:c r="E30" s="15" t="n">
        <x:v>24796</x:v>
      </x:c>
      <x:c r="F30" s="15" t="n">
        <x:v>43000</x:v>
      </x:c>
      <x:c r="G30" s="2"/>
      <x:c r="H30" s="2" t="str">
        <x:v>Note 13</x:v>
      </x:c>
      <x:c r="I30" s="2"/>
      <x:c r="J30" s="2"/>
      <x:c r="K30" s="2"/>
      <x:c r="L30" s="2"/>
    </x:row>
    <x:row r="31" ht="21" customHeight="1">
      <x:c r="A31" s="2"/>
      <x:c r="B31" s="2"/>
      <x:c r="C31" s="2" t="str">
        <x:v>Period-end shares (millions)</x:v>
      </x:c>
      <x:c r="D31" s="2"/>
      <x:c r="E31" s="15" t="n">
        <x:v>7434</x:v>
      </x:c>
      <x:c r="F31" s="15" t="n">
        <x:v>7434</x:v>
      </x:c>
      <x:c r="G31" s="2"/>
      <x:c r="H31" s="2" t="str">
        <x:v>Balance sheets</x:v>
      </x:c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/>
      <x:c r="C34" s="2" t="str">
        <x:v>Accounts receivable</x:v>
      </x:c>
      <x:c r="D34" s="2"/>
      <x:c r="E34" s="15" t="n">
        <x:v>56924</x:v>
      </x:c>
      <x:c r="F34" s="15" t="n">
        <x:v>69905</x:v>
      </x:c>
      <x:c r="G34" s="2"/>
      <x:c r="H34" s="2" t="str">
        <x:v>Balance sheets</x:v>
      </x:c>
      <x:c r="I34" s="2"/>
      <x:c r="J34" s="2"/>
      <x:c r="K34" s="2"/>
      <x:c r="L34" s="2"/>
    </x:row>
    <x:row r="35" ht="21" customHeight="1">
      <x:c r="A35" s="2"/>
      <x:c r="B35" s="2"/>
      <x:c r="C35" s="2" t="str">
        <x:v>Inventories</x:v>
      </x:c>
      <x:c r="D35" s="2"/>
      <x:c r="E35" s="15" t="n">
        <x:v>1246</x:v>
      </x:c>
      <x:c r="F35" s="15" t="n">
        <x:v>938</x:v>
      </x:c>
      <x:c r="G35" s="2"/>
      <x:c r="H35" s="2" t="str">
        <x:v>Balance sheets</x:v>
      </x:c>
      <x:c r="I35" s="2"/>
      <x:c r="J35" s="2"/>
      <x:c r="K35" s="2"/>
      <x:c r="L35" s="2"/>
    </x:row>
    <x:row r="36" ht="21" customHeight="1">
      <x:c r="A36" s="2"/>
      <x:c r="B36" s="2"/>
      <x:c r="C36" s="2" t="str">
        <x:v>Other current assets</x:v>
      </x:c>
      <x:c r="D36" s="2"/>
      <x:c r="E36" s="15" t="n">
        <x:v>26021</x:v>
      </x:c>
      <x:c r="F36" s="15" t="n">
        <x:v>25723</x:v>
      </x:c>
      <x:c r="G36" s="2"/>
      <x:c r="H36" s="2" t="str">
        <x:v>Balance sheets</x:v>
      </x:c>
      <x:c r="I36" s="2"/>
      <x:c r="J36" s="2"/>
      <x:c r="K36" s="2"/>
      <x:c r="L36" s="2"/>
    </x:row>
    <x:row r="37" ht="21" customHeight="1">
      <x:c r="A37" s="2"/>
      <x:c r="B37" s="2"/>
      <x:c r="C37" s="2" t="str">
        <x:v>Accounts payable</x:v>
      </x:c>
      <x:c r="D37" s="2"/>
      <x:c r="E37" s="15" t="n">
        <x:v>21996</x:v>
      </x:c>
      <x:c r="F37" s="15" t="n">
        <x:v>27724</x:v>
      </x:c>
      <x:c r="G37" s="2"/>
      <x:c r="H37" s="2" t="str">
        <x:v>Balance sheets</x:v>
      </x:c>
      <x:c r="I37" s="2"/>
      <x:c r="J37" s="2"/>
      <x:c r="K37" s="2"/>
      <x:c r="L37" s="2"/>
    </x:row>
    <x:row r="38" ht="21" customHeight="1">
      <x:c r="A38" s="2"/>
      <x:c r="B38" s="2"/>
      <x:c r="C38" s="2" t="str">
        <x:v>PP&amp;E purchases in payables</x:v>
      </x:c>
      <x:c r="D38" s="2"/>
      <x:c r="E38" s="15" t="n">
        <x:v>4300</x:v>
      </x:c>
      <x:c r="F38" s="15" t="n">
        <x:v>6900</x:v>
      </x:c>
      <x:c r="G38" s="2"/>
      <x:c r="H38" s="2" t="str">
        <x:v>Note 6; rounded disclosure</x:v>
      </x:c>
      <x:c r="I38" s="2"/>
      <x:c r="J38" s="2"/>
      <x:c r="K38" s="2"/>
      <x:c r="L38" s="2"/>
    </x:row>
    <x:row r="39" ht="21" customHeight="1">
      <x:c r="A39" s="2"/>
      <x:c r="B39" s="2"/>
      <x:c r="C39" s="2" t="str">
        <x:v>Accrued compensation</x:v>
      </x:c>
      <x:c r="D39" s="2"/>
      <x:c r="E39" s="15" t="n">
        <x:v>12564</x:v>
      </x:c>
      <x:c r="F39" s="15" t="n">
        <x:v>13709</x:v>
      </x:c>
      <x:c r="G39" s="2"/>
      <x:c r="H39" s="2" t="str">
        <x:v>Balance sheets</x:v>
      </x:c>
      <x:c r="I39" s="2"/>
      <x:c r="J39" s="2"/>
      <x:c r="K39" s="2"/>
      <x:c r="L39" s="2"/>
    </x:row>
    <x:row r="40" ht="21" customHeight="1">
      <x:c r="A40" s="2"/>
      <x:c r="B40" s="2"/>
      <x:c r="C40" s="2" t="str">
        <x:v>Current unearned revenue</x:v>
      </x:c>
      <x:c r="D40" s="2"/>
      <x:c r="E40" s="15" t="n">
        <x:v>57582</x:v>
      </x:c>
      <x:c r="F40" s="15" t="n">
        <x:v>64555</x:v>
      </x:c>
      <x:c r="G40" s="2"/>
      <x:c r="H40" s="2" t="str">
        <x:v>Balance sheets</x:v>
      </x:c>
      <x:c r="I40" s="2"/>
      <x:c r="J40" s="2"/>
      <x:c r="K40" s="2"/>
      <x:c r="L40" s="2"/>
    </x:row>
    <x:row r="41" ht="21" customHeight="1">
      <x:c r="A41" s="2"/>
      <x:c r="B41" s="2"/>
      <x:c r="C41" s="2" t="str">
        <x:v>Other current liabilities</x:v>
      </x:c>
      <x:c r="D41" s="2"/>
      <x:c r="E41" s="15" t="n">
        <x:v>19185</x:v>
      </x:c>
      <x:c r="F41" s="15" t="n">
        <x:v>25020</x:v>
      </x:c>
      <x:c r="G41" s="2"/>
      <x:c r="H41" s="2" t="str">
        <x:v>Balance sheets</x:v>
      </x:c>
      <x:c r="I41" s="2"/>
      <x:c r="J41" s="2"/>
      <x:c r="K41" s="2"/>
      <x:c r="L41" s="2"/>
    </x:row>
    <x:row r="42" ht="21" customHeight="1">
      <x:c r="A42" s="2"/>
      <x:c r="B42" s="2"/>
      <x:c r="C42" s="2" t="str">
        <x:v>Current operating-lease liability</x:v>
      </x:c>
      <x:c r="D42" s="2"/>
      <x:c r="E42" s="15" t="n">
        <x:v>3580</x:v>
      </x:c>
      <x:c r="F42" s="15" t="n">
        <x:v>5424</x:v>
      </x:c>
      <x:c r="G42" s="2"/>
      <x:c r="H42" s="2" t="str">
        <x:v>Note 13</x:v>
      </x:c>
      <x:c r="I42" s="2"/>
      <x:c r="J42" s="2"/>
      <x:c r="K42" s="2"/>
      <x:c r="L42" s="2"/>
    </x:row>
    <x:row r="43" ht="21" customHeight="1">
      <x:c r="A43" s="2"/>
      <x:c r="B43" s="2"/>
      <x:c r="C43" s="2" t="str">
        <x:v>Net property and equipment</x:v>
      </x:c>
      <x:c r="D43" s="2"/>
      <x:c r="E43" s="15" t="n">
        <x:v>135591</x:v>
      </x:c>
      <x:c r="F43" s="15" t="n">
        <x:v>204966</x:v>
      </x:c>
      <x:c r="G43" s="2"/>
      <x:c r="H43" s="2" t="str">
        <x:v>Balance sheets</x:v>
      </x:c>
      <x:c r="I43" s="2"/>
      <x:c r="J43" s="2"/>
      <x:c r="K43" s="2"/>
      <x:c r="L43" s="2"/>
    </x:row>
    <x:row r="44" ht="21" customHeight="1">
      <x:c r="A44" s="2"/>
      <x:c r="B44" s="2"/>
      <x:c r="C44" s="2" t="str">
        <x:v>Net intangible assets</x:v>
      </x:c>
      <x:c r="D44" s="2"/>
      <x:c r="E44" s="15" t="n">
        <x:v>27597</x:v>
      </x:c>
      <x:c r="F44" s="15" t="n">
        <x:v>22604</x:v>
      </x:c>
      <x:c r="G44" s="2"/>
      <x:c r="H44" s="2" t="str">
        <x:v>Balance sheets</x:v>
      </x:c>
      <x:c r="I44" s="2"/>
      <x:c r="J44" s="2"/>
      <x:c r="K44" s="2"/>
      <x:c r="L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12" t="str">
        <x:v>Scheduled intangible amortization</x:v>
      </x:c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1" customHeight="1">
      <x:c r="A48" s="2"/>
      <x:c r="B48" s="2"/>
      <x:c r="C48" s="2"/>
      <x:c r="D48" s="2"/>
      <x:c r="E48" s="2"/>
      <x:c r="F48" s="2"/>
      <x:c r="G48" s="2"/>
      <x:c r="H48" s="9" t="n">
        <x:v>46203</x:v>
      </x:c>
      <x:c r="I48" s="9" t="n">
        <x:v>46568</x:v>
      </x:c>
      <x:c r="J48" s="9" t="n">
        <x:v>46934</x:v>
      </x:c>
      <x:c r="K48" s="9" t="n">
        <x:v>47299</x:v>
      </x:c>
      <x:c r="L48" s="9" t="n">
        <x:v>47664</x:v>
      </x:c>
    </x:row>
    <x:row r="49" ht="21" customHeight="1">
      <x:c r="A49" s="2"/>
      <x:c r="B49" s="2"/>
      <x:c r="C49" s="2" t="str">
        <x:v>Existing intangible assets</x:v>
      </x:c>
      <x:c r="D49" s="2"/>
      <x:c r="E49" s="2"/>
      <x:c r="F49" s="2"/>
      <x:c r="G49" s="2"/>
      <x:c r="H49" s="15" t="n">
        <x:v>4594</x:v>
      </x:c>
      <x:c r="I49" s="15" t="n">
        <x:v>2901</x:v>
      </x:c>
      <x:c r="J49" s="15" t="n">
        <x:v>2034</x:v>
      </x:c>
      <x:c r="K49" s="15" t="n">
        <x:v>1851</x:v>
      </x:c>
      <x:c r="L49" s="15" t="n">
        <x:v>1382</x:v>
      </x:c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32" customHeight="1">
      <x:c r="A51" s="2"/>
      <x:c r="B51" s="2"/>
      <x:c r="C51" s="17" t="str">
        <x:v>Note 9 schedule. No future acquisitions or new acquired intangible assets are assumed.</x:v>
      </x:c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1" customHeight="1">
      <x:c r="A55" s="2"/>
      <x:c r="B55" s="2"/>
      <x:c r="C55" s="2" t="str">
        <x:v>Historical reference share price</x:v>
      </x:c>
      <x:c r="D55" s="2"/>
      <x:c r="E55" s="2"/>
      <x:c r="F55" s="18" t="n">
        <x:v>533.5</x:v>
      </x:c>
      <x:c r="G55" s="2"/>
      <x:c r="H55" s="2"/>
      <x:c r="I55" s="2"/>
      <x:c r="J55" s="2"/>
      <x:c r="K55" s="2"/>
      <x:c r="L55" s="2"/>
    </x:row>
    <x:row r="56" ht="21" customHeight="1">
      <x:c r="A56" s="2"/>
      <x:c r="B56" s="2"/>
      <x:c r="C56" s="2" t="str">
        <x:v>Reference / valuation date</x:v>
      </x:c>
      <x:c r="D56" s="2"/>
      <x:c r="E56" s="2"/>
      <x:c r="F56" s="19" t="n">
        <x:v>45869</x:v>
      </x:c>
      <x:c r="G56" s="2"/>
      <x:c r="H56" s="2"/>
      <x:c r="I56" s="2"/>
      <x:c r="J56" s="2"/>
      <x:c r="K56" s="2"/>
      <x:c r="L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32" customHeight="1">
      <x:c r="A58" s="2"/>
      <x:c r="B58" s="2"/>
      <x:c r="C58" s="17" t="str">
        <x:v>Financial statements: Microsoft FY2025 Annual Report. Income statements, balance sheets, cash flows and Notes 6, 9 and 13.</x:v>
      </x:c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 ht="26" customHeight="1">
      <x:c r="A59" s="2"/>
      <x:c r="B59" s="2"/>
      <x:c r="C59" s="17" t="str">
        <x:v>https://www.microsoft.com/investor/reports/ar25/</x:v>
      </x:c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32" customHeight="1">
      <x:c r="A61" s="2"/>
      <x:c r="B61" s="2"/>
      <x:c r="C61" s="17" t="str">
        <x:v>Price: Nasdaq Dorsey Wright, 31 July 2025, MSFT analyst observation. Historical unadjusted reference price.</x:v>
      </x:c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 ht="28" customHeight="1">
      <x:c r="A62" s="2"/>
      <x:c r="B62" s="2"/>
      <x:c r="C62" s="17" t="str">
        <x:v>https://oxlive.dorseywright.com/research/bigwire/2025/07/31/07-31-2025</x:v>
      </x:c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32" customHeight="1">
      <x:c r="A64" s="2"/>
      <x:c r="B64" s="2"/>
      <x:c r="C64" s="17" t="str">
        <x:v>Balance-sheet inputs are dated 30 June 2025. No July cash, debt, investment or share-count roll-forward is assumed.</x:v>
      </x:c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32" customHeight="1">
      <x:c r="A66" s="2"/>
      <x:c r="B66" s="2"/>
      <x:c r="C66" s="17" t="str">
        <x:v>PP&amp;E payables are excluded from operating working capital. Lease liabilities are excluded from its operating-liability subtotal.</x:v>
      </x:c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32" customHeight="1">
      <x:c r="A68" s="2"/>
      <x:c r="B68" s="2"/>
      <x:c r="C68" s="17" t="str">
        <x:v>Equity investments enter the equity bridge at carrying value, without a separate revaluation of OpenAI or other holdings.</x:v>
      </x:c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C51:L51"/>
    <x:mergeCell ref="C58:L58"/>
    <x:mergeCell ref="C59:L59"/>
    <x:mergeCell ref="C61:L61"/>
    <x:mergeCell ref="C62:L62"/>
    <x:mergeCell ref="C64:L64"/>
    <x:mergeCell ref="C66:L66"/>
    <x:mergeCell ref="C68:L68"/>
    <x:mergeCell ref="H7:L7"/>
    <x:mergeCell ref="H8:L8"/>
    <x:mergeCell ref="H9:L9"/>
    <x:mergeCell ref="H10:L10"/>
    <x:mergeCell ref="H11:L11"/>
    <x:mergeCell ref="H12:L12"/>
    <x:mergeCell ref="H13:L13"/>
    <x:mergeCell ref="H14:L14"/>
    <x:mergeCell ref="H15:L15"/>
    <x:mergeCell ref="H16:L16"/>
    <x:mergeCell ref="H17:L17"/>
    <x:mergeCell ref="H18:L18"/>
    <x:mergeCell ref="H23:L23"/>
    <x:mergeCell ref="H24:L24"/>
    <x:mergeCell ref="H25:L25"/>
    <x:mergeCell ref="H26:L26"/>
    <x:mergeCell ref="H27:L27"/>
    <x:mergeCell ref="H28:L28"/>
    <x:mergeCell ref="H29:L29"/>
    <x:mergeCell ref="H30:L30"/>
    <x:mergeCell ref="H31:L31"/>
    <x:mergeCell ref="H34:L34"/>
    <x:mergeCell ref="H35:L35"/>
    <x:mergeCell ref="H36:L36"/>
    <x:mergeCell ref="H37:L37"/>
    <x:mergeCell ref="H38:L38"/>
    <x:mergeCell ref="H39:L39"/>
    <x:mergeCell ref="H40:L40"/>
    <x:mergeCell ref="H41:L41"/>
    <x:mergeCell ref="H42:L42"/>
    <x:mergeCell ref="H43:L43"/>
    <x:mergeCell ref="H44:L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Methodology and scope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5" t="str">
        <x:v>Independent equity valuation case. Prepared by Trimanjeev Sawhney.</x:v>
      </x:c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 t="str">
        <x:v>Selected case</x:v>
      </x:c>
      <x:c r="D5" s="8" t="str">
        <x:f>'Assumptions'!E5</x:f>
        <x:v>Base</x:v>
      </x:c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1" customHeight="1">
      <x:c r="A8" s="2"/>
      <x:c r="B8" s="2"/>
      <x:c r="C8" s="74" t="str">
        <x:v>Research date</x:v>
      </x:c>
      <x:c r="D8" s="75" t="str">
        <x:v>Historical valuation as of 31 July 2025 using FY2025 results and June balance-sheet values. It is not a current price target.</x:v>
      </x:c>
      <x:c r="E8" s="75"/>
      <x:c r="F8" s="75"/>
      <x:c r="G8" s="75"/>
      <x:c r="H8" s="75"/>
      <x:c r="I8" s="75"/>
      <x:c r="J8" s="75"/>
      <x:c r="K8" s="75"/>
      <x:c r="L8" s="75"/>
    </x:row>
    <x:row r="9" ht="21" customHeight="1">
      <x:c r="A9" s="2"/>
      <x:c r="B9" s="2"/>
      <x:c r="C9" s="2"/>
      <x:c r="D9" s="75"/>
      <x:c r="E9" s="75"/>
      <x:c r="F9" s="75"/>
      <x:c r="G9" s="75"/>
      <x:c r="H9" s="75"/>
      <x:c r="I9" s="75"/>
      <x:c r="J9" s="75"/>
      <x:c r="K9" s="75"/>
      <x:c r="L9" s="75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1" customHeight="1">
      <x:c r="A11" s="2"/>
      <x:c r="B11" s="2"/>
      <x:c r="C11" s="74" t="str">
        <x:v>Operating forecast</x:v>
      </x:c>
      <x:c r="D11" s="75" t="str">
        <x:v>Five annual revenue-growth and operating-margin assumptions determine EBIT. Tax rates are estimates. Forecasts are consolidated rather than product-level.</x:v>
      </x:c>
      <x:c r="E11" s="75"/>
      <x:c r="F11" s="75"/>
      <x:c r="G11" s="75"/>
      <x:c r="H11" s="75"/>
      <x:c r="I11" s="75"/>
      <x:c r="J11" s="75"/>
      <x:c r="K11" s="75"/>
      <x:c r="L11" s="75"/>
    </x:row>
    <x:row r="12" ht="21" customHeight="1">
      <x:c r="A12" s="2"/>
      <x:c r="B12" s="2"/>
      <x:c r="C12" s="2"/>
      <x:c r="D12" s="75"/>
      <x:c r="E12" s="75"/>
      <x:c r="F12" s="75"/>
      <x:c r="G12" s="75"/>
      <x:c r="H12" s="75"/>
      <x:c r="I12" s="75"/>
      <x:c r="J12" s="75"/>
      <x:c r="K12" s="75"/>
      <x:c r="L12" s="75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74" t="str">
        <x:v>Capital investment</x:v>
      </x:c>
      <x:c r="D14" s="75" t="str">
        <x:v>Cash capex plus new finance-lease assets fund the PP&amp;E schedule. Future changes in PP&amp;E payables, disposals, impairments and acquisitions are assumed zero.</x:v>
      </x:c>
      <x:c r="E14" s="75"/>
      <x:c r="F14" s="75"/>
      <x:c r="G14" s="75"/>
      <x:c r="H14" s="75"/>
      <x:c r="I14" s="75"/>
      <x:c r="J14" s="75"/>
      <x:c r="K14" s="75"/>
      <x:c r="L14" s="75"/>
    </x:row>
    <x:row r="15" ht="21" customHeight="1">
      <x:c r="A15" s="2"/>
      <x:c r="B15" s="2"/>
      <x:c r="C15" s="2"/>
      <x:c r="D15" s="75"/>
      <x:c r="E15" s="75"/>
      <x:c r="F15" s="75"/>
      <x:c r="G15" s="75"/>
      <x:c r="H15" s="75"/>
      <x:c r="I15" s="75"/>
      <x:c r="J15" s="75"/>
      <x:c r="K15" s="75"/>
      <x:c r="L15" s="75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74" t="str">
        <x:v>Depreciation</x:v>
      </x:c>
      <x:c r="D17" s="75" t="str">
        <x:v>Opening PP&amp;E depreciates over an estimated six-year remaining life. New assets use an eight-year life and a half-year convention. New-asset life must remain at least five years.</x:v>
      </x:c>
      <x:c r="E17" s="75"/>
      <x:c r="F17" s="75"/>
      <x:c r="G17" s="75"/>
      <x:c r="H17" s="75"/>
      <x:c r="I17" s="75"/>
      <x:c r="J17" s="75"/>
      <x:c r="K17" s="75"/>
      <x:c r="L17" s="75"/>
    </x:row>
    <x:row r="18" ht="21" customHeight="1">
      <x:c r="A18" s="2"/>
      <x:c r="B18" s="2"/>
      <x:c r="C18" s="2"/>
      <x:c r="D18" s="75"/>
      <x:c r="E18" s="75"/>
      <x:c r="F18" s="75"/>
      <x:c r="G18" s="75"/>
      <x:c r="H18" s="75"/>
      <x:c r="I18" s="75"/>
      <x:c r="J18" s="75"/>
      <x:c r="K18" s="75"/>
      <x:c r="L18" s="75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74" t="str">
        <x:v>Working capital</x:v>
      </x:c>
      <x:c r="D20" s="75" t="str">
        <x:v>Receivables + inventory + other current assets, less AP excluding PP&amp;E purchases, accrued pay, current deferred revenue and other current liabilities excluding lease debt. Separately reported tax liabilities and cash are excluded.</x:v>
      </x:c>
      <x:c r="E20" s="75"/>
      <x:c r="F20" s="75"/>
      <x:c r="G20" s="75"/>
      <x:c r="H20" s="75"/>
      <x:c r="I20" s="75"/>
      <x:c r="J20" s="75"/>
      <x:c r="K20" s="75"/>
      <x:c r="L20" s="75"/>
    </x:row>
    <x:row r="21" ht="21" customHeight="1">
      <x:c r="A21" s="2"/>
      <x:c r="B21" s="2"/>
      <x:c r="C21" s="2"/>
      <x:c r="D21" s="75"/>
      <x:c r="E21" s="75"/>
      <x:c r="F21" s="75"/>
      <x:c r="G21" s="75"/>
      <x:c r="H21" s="75"/>
      <x:c r="I21" s="75"/>
      <x:c r="J21" s="75"/>
      <x:c r="K21" s="75"/>
      <x:c r="L21" s="75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74" t="str">
        <x:v>Stock compensation</x:v>
      </x:c>
      <x:c r="D23" s="75" t="str">
        <x:v>SBC remains an economic expense in operating margin. No add-back is made. The period-end share count is held fixed, with no assumed buyback benefit.</x:v>
      </x:c>
      <x:c r="E23" s="75"/>
      <x:c r="F23" s="75"/>
      <x:c r="G23" s="75"/>
      <x:c r="H23" s="75"/>
      <x:c r="I23" s="75"/>
      <x:c r="J23" s="75"/>
      <x:c r="K23" s="75"/>
      <x:c r="L23" s="75"/>
    </x:row>
    <x:row r="24" ht="21" customHeight="1">
      <x:c r="A24" s="2"/>
      <x:c r="B24" s="2"/>
      <x:c r="C24" s="2"/>
      <x:c r="D24" s="75"/>
      <x:c r="E24" s="75"/>
      <x:c r="F24" s="75"/>
      <x:c r="G24" s="75"/>
      <x:c r="H24" s="75"/>
      <x:c r="I24" s="75"/>
      <x:c r="J24" s="75"/>
      <x:c r="K24" s="75"/>
      <x:c r="L24" s="75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74" t="str">
        <x:v>Capital cost</x:v>
      </x:c>
      <x:c r="D26" s="75" t="str">
        <x:v>CAPM cost of equity = assumed risk-free rate + beta x equity premium. Market equity value and carrying debt plus finance leases set capital weights. A case adjustment changes WACC.</x:v>
      </x:c>
      <x:c r="E26" s="75"/>
      <x:c r="F26" s="75"/>
      <x:c r="G26" s="75"/>
      <x:c r="H26" s="75"/>
      <x:c r="I26" s="75"/>
      <x:c r="J26" s="75"/>
      <x:c r="K26" s="75"/>
      <x:c r="L26" s="75"/>
    </x:row>
    <x:row r="27" ht="21" customHeight="1">
      <x:c r="A27" s="2"/>
      <x:c r="B27" s="2"/>
      <x:c r="C27" s="2"/>
      <x:c r="D27" s="75"/>
      <x:c r="E27" s="75"/>
      <x:c r="F27" s="75"/>
      <x:c r="G27" s="75"/>
      <x:c r="H27" s="75"/>
      <x:c r="I27" s="75"/>
      <x:c r="J27" s="75"/>
      <x:c r="K27" s="75"/>
      <x:c r="L27" s="75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74" t="str">
        <x:v>Terminal value</x:v>
      </x:c>
      <x:c r="D29" s="75" t="str">
        <x:v>Terminal NOPAT grows at g. Reinvestment = NOPAT x g / ROIC. Terminal FCF = NOPAT less reinvestment. WACC must exceed g; terminal ROIC must exceed g.</x:v>
      </x:c>
      <x:c r="E29" s="75"/>
      <x:c r="F29" s="75"/>
      <x:c r="G29" s="75"/>
      <x:c r="H29" s="75"/>
      <x:c r="I29" s="75"/>
      <x:c r="J29" s="75"/>
      <x:c r="K29" s="75"/>
      <x:c r="L29" s="75"/>
    </x:row>
    <x:row r="30" ht="21" customHeight="1">
      <x:c r="A30" s="2"/>
      <x:c r="B30" s="2"/>
      <x:c r="C30" s="2"/>
      <x:c r="D30" s="75"/>
      <x:c r="E30" s="75"/>
      <x:c r="F30" s="75"/>
      <x:c r="G30" s="75"/>
      <x:c r="H30" s="75"/>
      <x:c r="I30" s="75"/>
      <x:c r="J30" s="75"/>
      <x:c r="K30" s="75"/>
      <x:c r="L30" s="75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74" t="str">
        <x:v>Equity bridge</x:v>
      </x:c>
      <x:c r="D32" s="75" t="str">
        <x:v>Add cash, short-term investments and equity investments to enterprise value. Subtract debt and finance leases. Operating leases stay in operating costs and are not deducted again.</x:v>
      </x:c>
      <x:c r="E32" s="75"/>
      <x:c r="F32" s="75"/>
      <x:c r="G32" s="75"/>
      <x:c r="H32" s="75"/>
      <x:c r="I32" s="75"/>
      <x:c r="J32" s="75"/>
      <x:c r="K32" s="75"/>
      <x:c r="L32" s="75"/>
    </x:row>
    <x:row r="33" ht="21" customHeight="1">
      <x:c r="A33" s="2"/>
      <x:c r="B33" s="2"/>
      <x:c r="C33" s="2"/>
      <x:c r="D33" s="75"/>
      <x:c r="E33" s="75"/>
      <x:c r="F33" s="75"/>
      <x:c r="G33" s="75"/>
      <x:c r="H33" s="75"/>
      <x:c r="I33" s="75"/>
      <x:c r="J33" s="75"/>
      <x:c r="K33" s="75"/>
      <x:c r="L33" s="75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74" t="str">
        <x:v>Timing</x:v>
      </x:c>
      <x:c r="D35" s="75" t="str">
        <x:v>Fiscal year-end discounting uses actual days / 365 from 31 July 2025. FY2026 cash flow is prorated to 334/365 of the annual total. July balance-sheet changes are not modeled.</x:v>
      </x:c>
      <x:c r="E35" s="75"/>
      <x:c r="F35" s="75"/>
      <x:c r="G35" s="75"/>
      <x:c r="H35" s="75"/>
      <x:c r="I35" s="75"/>
      <x:c r="J35" s="75"/>
      <x:c r="K35" s="75"/>
      <x:c r="L35" s="75"/>
    </x:row>
    <x:row r="36" ht="21" customHeight="1">
      <x:c r="A36" s="2"/>
      <x:c r="B36" s="2"/>
      <x:c r="C36" s="2"/>
      <x:c r="D36" s="75"/>
      <x:c r="E36" s="75"/>
      <x:c r="F36" s="75"/>
      <x:c r="G36" s="75"/>
      <x:c r="H36" s="75"/>
      <x:c r="I36" s="75"/>
      <x:c r="J36" s="75"/>
      <x:c r="K36" s="75"/>
      <x:c r="L36" s="75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74" t="str">
        <x:v>Model limits</x:v>
      </x:c>
      <x:c r="D38" s="75" t="str">
        <x:v>No segment forecast, option valuation, contingent-liability adjustment, asset-sale tax, investment revaluation or capitalized R&amp;D. Simplified lives and a short explicit horizon affect terminal dependence.</x:v>
      </x:c>
      <x:c r="E38" s="75"/>
      <x:c r="F38" s="75"/>
      <x:c r="G38" s="75"/>
      <x:c r="H38" s="75"/>
      <x:c r="I38" s="75"/>
      <x:c r="J38" s="75"/>
      <x:c r="K38" s="75"/>
      <x:c r="L38" s="75"/>
    </x:row>
    <x:row r="39" ht="21" customHeight="1">
      <x:c r="A39" s="2"/>
      <x:c r="B39" s="2"/>
      <x:c r="C39" s="2"/>
      <x:c r="D39" s="75"/>
      <x:c r="E39" s="75"/>
      <x:c r="F39" s="75"/>
      <x:c r="G39" s="75"/>
      <x:c r="H39" s="75"/>
      <x:c r="I39" s="75"/>
      <x:c r="J39" s="75"/>
      <x:c r="K39" s="75"/>
      <x:c r="L39" s="75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74" t="str">
        <x:v>Using the files</x:v>
      </x:c>
      <x:c r="D41" s="75" t="str">
        <x:v>Start with Summary, edit yellow case assumptions, then review DCF and Sensitivity. The report is a static snapshot and must be refreshed after workbook edits.</x:v>
      </x:c>
      <x:c r="E41" s="75"/>
      <x:c r="F41" s="75"/>
      <x:c r="G41" s="75"/>
      <x:c r="H41" s="75"/>
      <x:c r="I41" s="75"/>
      <x:c r="J41" s="75"/>
      <x:c r="K41" s="75"/>
      <x:c r="L41" s="75"/>
    </x:row>
    <x:row r="42" ht="21" customHeight="1">
      <x:c r="A42" s="2"/>
      <x:c r="B42" s="2"/>
      <x:c r="C42" s="2"/>
      <x:c r="D42" s="75"/>
      <x:c r="E42" s="75"/>
      <x:c r="F42" s="75"/>
      <x:c r="G42" s="75"/>
      <x:c r="H42" s="75"/>
      <x:c r="I42" s="75"/>
      <x:c r="J42" s="75"/>
      <x:c r="K42" s="75"/>
      <x:c r="L42" s="75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/>
      <x:c r="B44" s="2"/>
      <x:c r="C44" s="74" t="str">
        <x:v>Input handling</x:v>
      </x:c>
      <x:c r="D44" s="75" t="str">
        <x:v>Blank selected assumptions and invalid valuation domains expose unavailable results. Zero is valid where economically meaningful. A blank unselected case does not block the active forecast.</x:v>
      </x:c>
      <x:c r="E44" s="75"/>
      <x:c r="F44" s="75"/>
      <x:c r="G44" s="75"/>
      <x:c r="H44" s="75"/>
      <x:c r="I44" s="75"/>
      <x:c r="J44" s="75"/>
      <x:c r="K44" s="75"/>
      <x:c r="L44" s="75"/>
    </x:row>
    <x:row r="45" ht="21" customHeight="1">
      <x:c r="A45" s="2"/>
      <x:c r="B45" s="2"/>
      <x:c r="C45" s="2"/>
      <x:c r="D45" s="75"/>
      <x:c r="E45" s="75"/>
      <x:c r="F45" s="75"/>
      <x:c r="G45" s="75"/>
      <x:c r="H45" s="75"/>
      <x:c r="I45" s="75"/>
      <x:c r="J45" s="75"/>
      <x:c r="K45" s="75"/>
      <x:c r="L45" s="75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D8:L9"/>
    <x:mergeCell ref="D11:L12"/>
    <x:mergeCell ref="D14:L15"/>
    <x:mergeCell ref="D17:L18"/>
    <x:mergeCell ref="D20:L21"/>
    <x:mergeCell ref="D23:L24"/>
    <x:mergeCell ref="D26:L27"/>
    <x:mergeCell ref="D29:L30"/>
    <x:mergeCell ref="D32:L33"/>
    <x:mergeCell ref="D35:L36"/>
    <x:mergeCell ref="D38:L39"/>
    <x:mergeCell ref="D41:L42"/>
    <x:mergeCell ref="D44:L45"/>
  </x:mergeCells>
  <x:pageMargins left="0.7" right="0.7" top="0.75" bottom="0.75" header="0.3" footer="0.3"/>
</x:worksheet>
</file>